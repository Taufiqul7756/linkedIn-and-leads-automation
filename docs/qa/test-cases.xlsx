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Fusion AI\ai-agent-demo\docs\qa\"/>
    </mc:Choice>
  </mc:AlternateContent>
  <xr:revisionPtr revIDLastSave="0" documentId="13_ncr:1_{0EC5D843-707B-41C5-9E6F-0E3D22364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Summary" sheetId="2" r:id="rId2"/>
    <sheet name="How to use" sheetId="3" r:id="rId3"/>
  </sheets>
  <definedNames>
    <definedName name="_xlnm._FilterDatabase" localSheetId="0" hidden="1">'Test Cases'!$A$2:$J$152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8" i="2" l="1"/>
  <c r="G38" i="2"/>
  <c r="F38" i="2"/>
  <c r="E38" i="2"/>
  <c r="D38" i="2"/>
  <c r="C38" i="2"/>
  <c r="B38" i="2"/>
  <c r="H37" i="2"/>
  <c r="G37" i="2"/>
  <c r="F37" i="2"/>
  <c r="E37" i="2"/>
  <c r="D37" i="2"/>
  <c r="C37" i="2"/>
  <c r="B37" i="2"/>
  <c r="H36" i="2"/>
  <c r="G36" i="2"/>
  <c r="F36" i="2"/>
  <c r="E36" i="2"/>
  <c r="D36" i="2"/>
  <c r="C36" i="2"/>
  <c r="B36" i="2"/>
  <c r="H35" i="2"/>
  <c r="G35" i="2"/>
  <c r="F35" i="2"/>
  <c r="E35" i="2"/>
  <c r="D35" i="2"/>
  <c r="C35" i="2"/>
  <c r="B35" i="2"/>
  <c r="H34" i="2"/>
  <c r="G34" i="2"/>
  <c r="F34" i="2"/>
  <c r="E34" i="2"/>
  <c r="D34" i="2"/>
  <c r="C34" i="2"/>
  <c r="B34" i="2"/>
  <c r="H33" i="2"/>
  <c r="G33" i="2"/>
  <c r="F33" i="2"/>
  <c r="E33" i="2"/>
  <c r="D33" i="2"/>
  <c r="C33" i="2"/>
  <c r="B33" i="2"/>
  <c r="H32" i="2"/>
  <c r="G32" i="2"/>
  <c r="F32" i="2"/>
  <c r="E32" i="2"/>
  <c r="D32" i="2"/>
  <c r="C32" i="2"/>
  <c r="B32" i="2"/>
  <c r="H31" i="2"/>
  <c r="G31" i="2"/>
  <c r="F31" i="2"/>
  <c r="E31" i="2"/>
  <c r="D31" i="2"/>
  <c r="C31" i="2"/>
  <c r="B31" i="2"/>
  <c r="H30" i="2"/>
  <c r="G30" i="2"/>
  <c r="F30" i="2"/>
  <c r="E30" i="2"/>
  <c r="D30" i="2"/>
  <c r="C30" i="2"/>
  <c r="B30" i="2"/>
  <c r="H29" i="2"/>
  <c r="G29" i="2"/>
  <c r="F29" i="2"/>
  <c r="E29" i="2"/>
  <c r="D29" i="2"/>
  <c r="C29" i="2"/>
  <c r="B29" i="2"/>
  <c r="H28" i="2"/>
  <c r="G28" i="2"/>
  <c r="F28" i="2"/>
  <c r="E28" i="2"/>
  <c r="D28" i="2"/>
  <c r="C28" i="2"/>
  <c r="B28" i="2"/>
  <c r="H27" i="2"/>
  <c r="G27" i="2"/>
  <c r="F27" i="2"/>
  <c r="E27" i="2"/>
  <c r="D27" i="2"/>
  <c r="C27" i="2"/>
  <c r="B27" i="2"/>
  <c r="H26" i="2"/>
  <c r="G26" i="2"/>
  <c r="F26" i="2"/>
  <c r="E26" i="2"/>
  <c r="D26" i="2"/>
  <c r="C26" i="2"/>
  <c r="B26" i="2"/>
  <c r="H25" i="2"/>
  <c r="G25" i="2"/>
  <c r="F25" i="2"/>
  <c r="E25" i="2"/>
  <c r="D25" i="2"/>
  <c r="C25" i="2"/>
  <c r="B25" i="2"/>
  <c r="H24" i="2"/>
  <c r="G24" i="2"/>
  <c r="F24" i="2"/>
  <c r="E24" i="2"/>
  <c r="D24" i="2"/>
  <c r="C24" i="2"/>
  <c r="B24" i="2"/>
  <c r="H23" i="2"/>
  <c r="G23" i="2"/>
  <c r="F23" i="2"/>
  <c r="E23" i="2"/>
  <c r="D23" i="2"/>
  <c r="C23" i="2"/>
  <c r="B23" i="2"/>
  <c r="H22" i="2"/>
  <c r="G22" i="2"/>
  <c r="F22" i="2"/>
  <c r="E22" i="2"/>
  <c r="D22" i="2"/>
  <c r="C22" i="2"/>
  <c r="B22" i="2"/>
  <c r="H21" i="2"/>
  <c r="G21" i="2"/>
  <c r="F21" i="2"/>
  <c r="E21" i="2"/>
  <c r="D21" i="2"/>
  <c r="C21" i="2"/>
  <c r="B21" i="2"/>
  <c r="H20" i="2"/>
  <c r="G20" i="2"/>
  <c r="F20" i="2"/>
  <c r="E20" i="2"/>
  <c r="D20" i="2"/>
  <c r="C20" i="2"/>
  <c r="B20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B10" i="2"/>
  <c r="B9" i="2"/>
  <c r="B8" i="2"/>
  <c r="B7" i="2"/>
  <c r="B6" i="2"/>
  <c r="B5" i="2"/>
  <c r="B4" i="2"/>
  <c r="B11" i="2" l="1"/>
</calcChain>
</file>

<file path=xl/sharedStrings.xml><?xml version="1.0" encoding="utf-8"?>
<sst xmlns="http://schemas.openxmlformats.org/spreadsheetml/2006/main" count="1096" uniqueCount="640">
  <si>
    <t>LinkedIn Agent — Full Project Test Cases</t>
  </si>
  <si>
    <t>Test ID</t>
  </si>
  <si>
    <t>Feature Area</t>
  </si>
  <si>
    <t>Test Case Title</t>
  </si>
  <si>
    <t>Test Steps</t>
  </si>
  <si>
    <t>Expected Result</t>
  </si>
  <si>
    <t>Actual Result</t>
  </si>
  <si>
    <t>Status</t>
  </si>
  <si>
    <t>Tester</t>
  </si>
  <si>
    <t>Comments</t>
  </si>
  <si>
    <t>Priority</t>
  </si>
  <si>
    <t>LOGIN-001</t>
  </si>
  <si>
    <t>Login &amp; Account</t>
  </si>
  <si>
    <t>Register a new account</t>
  </si>
  <si>
    <t>1. Open /register
2. Enter email, username, password (8+ chars)
3. Submit</t>
  </si>
  <si>
    <t>Account is created, 'Account created!' toast shows and user lands inside the app</t>
  </si>
  <si>
    <t>Not Started</t>
  </si>
  <si>
    <t>Important</t>
  </si>
  <si>
    <t>LOGIN-002</t>
  </si>
  <si>
    <t>Register with invalid / existing data</t>
  </si>
  <si>
    <t>1. Open /register
2. Try an already-used email, a short password, an empty field</t>
  </si>
  <si>
    <t>Clear error message for each case; no account created</t>
  </si>
  <si>
    <t>Medium</t>
  </si>
  <si>
    <t>LOGIN-003</t>
  </si>
  <si>
    <t>Login with valid credentials</t>
  </si>
  <si>
    <t>1. Open /login
2. Enter correct email + password
3. Submit</t>
  </si>
  <si>
    <t>'Welcome back!' toast, user lands on the app with their workspace loaded</t>
  </si>
  <si>
    <t>LOGIN-004</t>
  </si>
  <si>
    <t>Login with wrong password</t>
  </si>
  <si>
    <t>1. Open /login
2. Enter wrong password</t>
  </si>
  <si>
    <t>Error toast from backend; user stays on login page</t>
  </si>
  <si>
    <t>LOGIN-005</t>
  </si>
  <si>
    <t>Protected pages need login</t>
  </si>
  <si>
    <t>1. Log out
2. Open /linkedin/automation directly in the URL bar</t>
  </si>
  <si>
    <t>User is sent to /login; no app page is shown</t>
  </si>
  <si>
    <t>LOGIN-006</t>
  </si>
  <si>
    <t>Sign out</t>
  </si>
  <si>
    <t>1. Click profile in sidebar
2. Click Sign out
3. Confirm</t>
  </si>
  <si>
    <t>Confirm dialog shows first; after confirm user is logged out and sent to /login</t>
  </si>
  <si>
    <t>LOGIN-007</t>
  </si>
  <si>
    <t>Expired / invalid session</t>
  </si>
  <si>
    <t>1. Log in
2. Make the token invalid (log out from another tab or wait for expiry)
3. Do any action</t>
  </si>
  <si>
    <t>User is logged out and redirected to /login (no broken page)</t>
  </si>
  <si>
    <t>LOGIN-008</t>
  </si>
  <si>
    <t>Settings page shows user details</t>
  </si>
  <si>
    <t>1. Open Settings from the sidebar</t>
  </si>
  <si>
    <t>User's details are shown correctly (read-only)</t>
  </si>
  <si>
    <t>Low</t>
  </si>
  <si>
    <t>WS-001</t>
  </si>
  <si>
    <t>Workspace</t>
  </si>
  <si>
    <t>Switch workspace</t>
  </si>
  <si>
    <t>1. Open workspace switcher in sidebar
2. Pick another workspace</t>
  </si>
  <si>
    <t>All data (posts, knowledge, settings, chats) changes to the selected workspace</t>
  </si>
  <si>
    <t>WS-002</t>
  </si>
  <si>
    <t>Workspace survives reload</t>
  </si>
  <si>
    <t>1. Pick a workspace
2. Reload the page</t>
  </si>
  <si>
    <t>Same workspace is still active; ?workspace= stays in the URL</t>
  </si>
  <si>
    <t>WS-003</t>
  </si>
  <si>
    <t>Data isolation between workspaces</t>
  </si>
  <si>
    <t>1. Add a knowledge source / generate a post in Workspace A
2. Switch to Workspace B</t>
  </si>
  <si>
    <t>Nothing from Workspace A is visible in Workspace B</t>
  </si>
  <si>
    <t>WS-004</t>
  </si>
  <si>
    <t>Switch workspace on Edit Image page</t>
  </si>
  <si>
    <t>1. Open /linkedin/edit-image/&lt;post&gt; 
2. Switch to another workspace</t>
  </si>
  <si>
    <t>'Post not found in this workspace' screen with 'Go to Agent' and 'Post Management' buttons</t>
  </si>
  <si>
    <t>NAV-001</t>
  </si>
  <si>
    <t>Navigation &amp; Layout</t>
  </si>
  <si>
    <t>Sidebar links open the right pages</t>
  </si>
  <si>
    <t>1. Click Automation, Accounts &amp; Knowledge, Post Management, Settings</t>
  </si>
  <si>
    <t>Each opens the correct page; active item is highlighted</t>
  </si>
  <si>
    <t>NAV-002</t>
  </si>
  <si>
    <t>Collapse / expand sidebar</t>
  </si>
  <si>
    <t>1. Click collapse button
2. Hover icons
3. Expand again</t>
  </si>
  <si>
    <t>Sidebar collapses to icons with tooltips and expands back</t>
  </si>
  <si>
    <t>NAV-003</t>
  </si>
  <si>
    <t>Coming-soon items</t>
  </si>
  <si>
    <t>1. Look at Leads Management in the sidebar</t>
  </si>
  <si>
    <t>Shows 'Soon' badge and can't be opened</t>
  </si>
  <si>
    <t>NAV-004</t>
  </si>
  <si>
    <t>Small screen layout</t>
  </si>
  <si>
    <t>1. Open main pages at tablet / mobile width</t>
  </si>
  <si>
    <t>Pages are usable; no broken overlaps or cut-off buttons</t>
  </si>
  <si>
    <t>ACC-001</t>
  </si>
  <si>
    <t>LinkedIn Account Connection</t>
  </si>
  <si>
    <t>Connect LinkedIn account</t>
  </si>
  <si>
    <t>1. Open Accounts &amp; Knowledge
2. Click Connect
3. Approve on LinkedIn</t>
  </si>
  <si>
    <t>Returns to the app, 'LinkedIn account connected!' toast, account shown as connected</t>
  </si>
  <si>
    <t>ACC-002</t>
  </si>
  <si>
    <t>Cancel / fail LinkedIn connection</t>
  </si>
  <si>
    <t>1. Click Connect
2. Cancel on the LinkedIn page</t>
  </si>
  <si>
    <t>'Failed to connect LinkedIn account.' toast; nothing marked connected</t>
  </si>
  <si>
    <t>ACC-003</t>
  </si>
  <si>
    <t>Disconnect LinkedIn account</t>
  </si>
  <si>
    <t>1. Click Disconnect on a connected account</t>
  </si>
  <si>
    <t>'LinkedIn account disconnected.' toast, account removed</t>
  </si>
  <si>
    <t>ACC-004</t>
  </si>
  <si>
    <t>Account is used for publishing</t>
  </si>
  <si>
    <t>1. Connect account
2. Schedule a post (see PUB cases)</t>
  </si>
  <si>
    <t>Post is published to the connected LinkedIn account</t>
  </si>
  <si>
    <t>KB-001</t>
  </si>
  <si>
    <t>Knowledge Base</t>
  </si>
  <si>
    <t>Add LinkedIn profile</t>
  </si>
  <si>
    <t>1. Open Knowledge base modal
2. Enter linkedin.com/in/&lt;user&gt;
3. Click Add</t>
  </si>
  <si>
    <t>Profile row appears (Processing → Ready); URL input hides while a profile exists</t>
  </si>
  <si>
    <t>KB-002</t>
  </si>
  <si>
    <t>LinkedIn profile pulls real data</t>
  </si>
  <si>
    <t>1. Add a profile
2. Wait for Ready
3. Check summary / generate a post</t>
  </si>
  <si>
    <t>Summary matches the real profile; no made-up or extra data</t>
  </si>
  <si>
    <t>KB-003</t>
  </si>
  <si>
    <t>Reject non-profile URL</t>
  </si>
  <si>
    <t>1. In 'Your LinkedIn profile' enter a website or LinkedIn post URL</t>
  </si>
  <si>
    <t>Toast: 'Enter a LinkedIn profile URL (linkedin.com/in/…)'</t>
  </si>
  <si>
    <t>KB-004</t>
  </si>
  <si>
    <t>Delete LinkedIn profile</t>
  </si>
  <si>
    <t>1. Delete the profile row
2. Confirm</t>
  </si>
  <si>
    <t>Row removed; profile URL input comes back</t>
  </si>
  <si>
    <t>KB-005</t>
  </si>
  <si>
    <t>Add website / link with note</t>
  </si>
  <si>
    <t>1. In Additional knowledge type a URL
2. Type a note (optional)
3. Click Add link</t>
  </si>
  <si>
    <t>Row added with URL as title and 'Note: …' under it; goes Processing → Ready</t>
  </si>
  <si>
    <t>KB-006</t>
  </si>
  <si>
    <t>URL validation</t>
  </si>
  <si>
    <t>1. Type 'hello', 'localhost', 'ftp://x', then 'acme.com'</t>
  </si>
  <si>
    <t>Invalid ones: Add disabled + red 'Enter a valid link' after blur; acme.com is accepted</t>
  </si>
  <si>
    <t>KB-007</t>
  </si>
  <si>
    <t>Upload PDF with note</t>
  </si>
  <si>
    <t>1. Click Upload PDF
2. Pick a PDF, add a note
3. Click Upload</t>
  </si>
  <si>
    <t>PDF row added with note; Processing → Ready</t>
  </si>
  <si>
    <t>KB-008</t>
  </si>
  <si>
    <t>Cancel a staged PDF</t>
  </si>
  <si>
    <t>1. Pick a PDF
2. Click Cancel or ✕</t>
  </si>
  <si>
    <t>PDF is not uploaded; form is cleared</t>
  </si>
  <si>
    <t>KB-009</t>
  </si>
  <si>
    <t>Edit / add a note on a source</t>
  </si>
  <si>
    <t>1. Click ✏️ on a note (or 'Add note for the agent')
2. Change text, press Enter</t>
  </si>
  <si>
    <t>Note saved and shown; Esc cancels without saving</t>
  </si>
  <si>
    <t>KB-010</t>
  </si>
  <si>
    <t>Note max 200 characters</t>
  </si>
  <si>
    <t>1. Type a long note</t>
  </si>
  <si>
    <t>Counter shows n/200; can't type past 200</t>
  </si>
  <si>
    <t>KB-011</t>
  </si>
  <si>
    <t>Delete a knowledge source</t>
  </si>
  <si>
    <t>1. Delete a website / PDF row
2. Confirm</t>
  </si>
  <si>
    <t>Row removed; also gone from Composer settings → Knowledge</t>
  </si>
  <si>
    <t>KB-012</t>
  </si>
  <si>
    <t>Failed source shows error</t>
  </si>
  <si>
    <t>1. Add a broken / unreachable URL or bad PDF</t>
  </si>
  <si>
    <t>Row shows Failed badge; app doesn't break</t>
  </si>
  <si>
    <t>KB-013</t>
  </si>
  <si>
    <t>Sources are clickable</t>
  </si>
  <si>
    <t>1. Click a website URL, profile URL, PDF name</t>
  </si>
  <si>
    <t>Opens in a new tab</t>
  </si>
  <si>
    <t>TONE-001</t>
  </si>
  <si>
    <t>Tone / Style</t>
  </si>
  <si>
    <t>Add tone / style link</t>
  </si>
  <si>
    <t>1. In Tone / Style card type a blog or LinkedIn post URL + note
2. Add link</t>
  </si>
  <si>
    <t>Row added, Processing → Ready, appears in Composer settings → Tone / Style</t>
  </si>
  <si>
    <t>TONE-002</t>
  </si>
  <si>
    <t>Add tone / style PDF</t>
  </si>
  <si>
    <t>1. Upload a PDF in Tone / Style with a note</t>
  </si>
  <si>
    <t>Row added and processed</t>
  </si>
  <si>
    <t>TONE-003</t>
  </si>
  <si>
    <t>Profile URL refused as tone source</t>
  </si>
  <si>
    <t>1. Enter linkedin.com/in/&lt;user&gt; in Tone / Style</t>
  </si>
  <si>
    <t>Toast: LinkedIn profiles can't be a tone / style source</t>
  </si>
  <si>
    <t>TONE-004</t>
  </si>
  <si>
    <t>Generated post follows the voice</t>
  </si>
  <si>
    <t>1. Turn on one tone source
2. Generate posts</t>
  </si>
  <si>
    <t>Post writing style clearly matches the sample</t>
  </si>
  <si>
    <t>AUD-001</t>
  </si>
  <si>
    <t>Audience &amp; Post Length</t>
  </si>
  <si>
    <t>Target audience autosave</t>
  </si>
  <si>
    <t>1. Type a target audience
2. Stop typing / blur / close modal
3. Reload</t>
  </si>
  <si>
    <t>'Saving…' → 'Saved'; value is still there after reload</t>
  </si>
  <si>
    <t>AUD-002</t>
  </si>
  <si>
    <t>Post length presets</t>
  </si>
  <si>
    <t>1. Click Short / Medium / Long / Let agent decide</t>
  </si>
  <si>
    <t>Pill highlights and saves at once; survives reload</t>
  </si>
  <si>
    <t>AUD-003</t>
  </si>
  <si>
    <t>Custom post length</t>
  </si>
  <si>
    <t>1. Type '150 words' in custom box</t>
  </si>
  <si>
    <t>Saved; no pill highlighted; clearing it = Let agent decide</t>
  </si>
  <si>
    <t>AUD-004</t>
  </si>
  <si>
    <t>Audience &amp; length used in posts</t>
  </si>
  <si>
    <t>1. Turn on 'Use target audience' and 'Use post length' in Composer settings
2. Generate</t>
  </si>
  <si>
    <t>Posts target that audience and are about the chosen length</t>
  </si>
  <si>
    <t>AUD-005</t>
  </si>
  <si>
    <t>Toggles off = ignored</t>
  </si>
  <si>
    <t>1. Turn both toggles off
2. Generate</t>
  </si>
  <si>
    <t>Audience / length values are not applied</t>
  </si>
  <si>
    <t>SET-001</t>
  </si>
  <si>
    <t>Composer Settings</t>
  </si>
  <si>
    <t>Post count</t>
  </si>
  <si>
    <t>1. Set post count (e.g. 3)
2. Generate</t>
  </si>
  <si>
    <t>Exactly that many drafts (1–20)</t>
  </si>
  <si>
    <t>SET-002</t>
  </si>
  <si>
    <t>Use hashtags on / off</t>
  </si>
  <si>
    <t>1. Toggle hashtags on, generate
2. Toggle off, generate</t>
  </si>
  <si>
    <t>On: hashtags on last line (not repeated); Off: no hashtags</t>
  </si>
  <si>
    <t>SET-003</t>
  </si>
  <si>
    <t>Use emoji on / off</t>
  </si>
  <si>
    <t>1. Toggle emoji on, generate
2. Toggle off, generate</t>
  </si>
  <si>
    <t>Emoji only when on (or when the prompt / tone asks for it)</t>
  </si>
  <si>
    <t>SET-004</t>
  </si>
  <si>
    <t>Use AI image off</t>
  </si>
  <si>
    <t>1. Turn off AI image
2. Generate</t>
  </si>
  <si>
    <t>Drafts have no image and no image placeholder</t>
  </si>
  <si>
    <t>SET-005</t>
  </si>
  <si>
    <t>Skip headline round</t>
  </si>
  <si>
    <t>1. Turn on ignore headline
2. Generate</t>
  </si>
  <si>
    <t>No headline / concepts step; posts are written directly</t>
  </si>
  <si>
    <t>SET-006</t>
  </si>
  <si>
    <t>Skip clarifying questions</t>
  </si>
  <si>
    <t>1. Turn on ignore questions
2. Generate</t>
  </si>
  <si>
    <t>No question round (except attachment questions)</t>
  </si>
  <si>
    <t>SET-007</t>
  </si>
  <si>
    <t>Knowledge switches</t>
  </si>
  <si>
    <t>1. Open Composer settings → Knowledge
2. Turn one source on, others off
3. Generate</t>
  </si>
  <si>
    <t>Only the switched-on source is used; summary shows 'n of total on'</t>
  </si>
  <si>
    <t>SET-008</t>
  </si>
  <si>
    <t>All knowledge off</t>
  </si>
  <si>
    <t>1. Turn every knowledge source off
2. Generate</t>
  </si>
  <si>
    <t>Posts written from the prompt only, no knowledge</t>
  </si>
  <si>
    <t>SET-009</t>
  </si>
  <si>
    <t>Tone / style switches blend</t>
  </si>
  <si>
    <t>1. Turn on 2 tone sources
2. Generate
3. Turn all off, generate</t>
  </si>
  <si>
    <t>2 on = blended voice; all off = default voice</t>
  </si>
  <si>
    <t>SET-010</t>
  </si>
  <si>
    <t>Empty knowledge list</t>
  </si>
  <si>
    <t>1. Use a workspace with no sources
2. Open Knowledge accordion</t>
  </si>
  <si>
    <t>'Nothing added yet — Add in Knowledge base' opens the modal</t>
  </si>
  <si>
    <t>SET-011</t>
  </si>
  <si>
    <t>Settings panel not cut off</t>
  </si>
  <si>
    <t>1. Expand Knowledge and Tone accordions with many sources</t>
  </si>
  <si>
    <t>Panel stays fully visible and scrolls; list scrolls after 5 rows</t>
  </si>
  <si>
    <t>SET-012</t>
  </si>
  <si>
    <t>Settings saved after reload</t>
  </si>
  <si>
    <t>1. Change several toggles
2. Reload</t>
  </si>
  <si>
    <t>All toggles keep their values</t>
  </si>
  <si>
    <t>SET-013</t>
  </si>
  <si>
    <t>Writer AI model picker</t>
  </si>
  <si>
    <t>1. Click model pill
2. Switch provider tab, pick a model
3. Reload</t>
  </si>
  <si>
    <t>Selected model is checked and stays after reload; used for next generation</t>
  </si>
  <si>
    <t>SET-014</t>
  </si>
  <si>
    <t>Settings locked while running</t>
  </si>
  <si>
    <t>1. Start a generation
2. Try model picker / settings</t>
  </si>
  <si>
    <t>Model picker disabled while running / waiting for answers</t>
  </si>
  <si>
    <t>AGT-001</t>
  </si>
  <si>
    <t>Agent Chat (Generate Posts)</t>
  </si>
  <si>
    <t>Generate posts from a prompt</t>
  </si>
  <si>
    <t>1. Open Automation
2. Type a prompt, Send
3. Answer any questions / approve headlines</t>
  </si>
  <si>
    <t>Draft cards appear in the chat matching the prompt and settings</t>
  </si>
  <si>
    <t>AGT-002</t>
  </si>
  <si>
    <t>Clarifying questions form</t>
  </si>
  <si>
    <t>1. Send a prompt with questions on
2. Answer choice + free-text questions
3. Next / Submit</t>
  </si>
  <si>
    <t>Defaults pre-selected; answers accepted; flow continues</t>
  </si>
  <si>
    <t>AGT-003</t>
  </si>
  <si>
    <t>Skip a question / skip questioning</t>
  </si>
  <si>
    <t>1. Switch a question off or click 'Skip questioning'</t>
  </si>
  <si>
    <t>Agent continues without that answer</t>
  </si>
  <si>
    <t>AGT-004</t>
  </si>
  <si>
    <t>Headlines / concepts round</t>
  </si>
  <si>
    <t>1. On the concepts card edit a line, delete one, add one
2. Generate drafts</t>
  </si>
  <si>
    <t>One post per line in the approved list, first line matches</t>
  </si>
  <si>
    <t>AGT-005</t>
  </si>
  <si>
    <t>Suggest more concepts</t>
  </si>
  <si>
    <t>1. Click 'Suggest more concepts/ideas'</t>
  </si>
  <si>
    <t>Card stays, shows 'Suggesting…' + skeleton rows, then new lines fade in</t>
  </si>
  <si>
    <t>AGT-006</t>
  </si>
  <si>
    <t>Cancel a running generation</t>
  </si>
  <si>
    <t>1. Start a generation
2. Click Cancel</t>
  </si>
  <si>
    <t>Run stops; chat can be used again</t>
  </si>
  <si>
    <t>AGT-007</t>
  </si>
  <si>
    <t>Send blocked while running</t>
  </si>
  <si>
    <t>1. Start a generation
2. Try typing + Send</t>
  </si>
  <si>
    <t>Send disabled until the run finishes</t>
  </si>
  <si>
    <t>AGT-008</t>
  </si>
  <si>
    <t>New chat</t>
  </si>
  <si>
    <t>1. Click New chat</t>
  </si>
  <si>
    <t>Empty chat; previous chat is in History</t>
  </si>
  <si>
    <t>AGT-009</t>
  </si>
  <si>
    <t>History: open old conversation</t>
  </si>
  <si>
    <t>1. Open History
2. Click an old conversation</t>
  </si>
  <si>
    <t>Whole conversation with its drafts loads</t>
  </si>
  <si>
    <t>AGT-010</t>
  </si>
  <si>
    <t>Reload keeps the conversation</t>
  </si>
  <si>
    <t>1. Reload mid-conversation (also while running)</t>
  </si>
  <si>
    <t>Same conversation re-opens; running state continues</t>
  </si>
  <si>
    <t>AGT-011</t>
  </si>
  <si>
    <t>Clickable link in post body</t>
  </si>
  <si>
    <t>1. Prompt with a link (e.g. 'add link https://…')
2. Prompt without a link</t>
  </si>
  <si>
    <t>With link: link is in the body and clickable; without: no link</t>
  </si>
  <si>
    <t>AGT-012</t>
  </si>
  <si>
    <t>Very long prompt</t>
  </si>
  <si>
    <t>1. Paste a prompt over 4000 characters</t>
  </si>
  <si>
    <t>Clear error, nothing breaks</t>
  </si>
  <si>
    <t>AGT-013</t>
  </si>
  <si>
    <t>Agent failure</t>
  </si>
  <si>
    <t xml:space="preserve">1. Cause a failed run (if possible) </t>
  </si>
  <si>
    <t>Failure message in chat; user can send again</t>
  </si>
  <si>
    <t>DRAFT-001</t>
  </si>
  <si>
    <t>Draft Cards (in chat)</t>
  </si>
  <si>
    <t>Approve a draft</t>
  </si>
  <si>
    <t>1. Click ✓ on a draft card</t>
  </si>
  <si>
    <t>Status changes to Approved; post appears in Post Management</t>
  </si>
  <si>
    <t>DRAFT-002</t>
  </si>
  <si>
    <t>Approve with past publish time</t>
  </si>
  <si>
    <t>1. Approve a draft whose suggested time is in the past</t>
  </si>
  <si>
    <t>Error toast + 'Edit Suggested Publish Time' modal opens pre-filled</t>
  </si>
  <si>
    <t>DRAFT-003</t>
  </si>
  <si>
    <t>Edit suggested publish time</t>
  </si>
  <si>
    <t>1. Click ✏️ next to the time
2. Pick a new date/time, Save</t>
  </si>
  <si>
    <t>Time updated on the card</t>
  </si>
  <si>
    <t>DRAFT-004</t>
  </si>
  <si>
    <t>Past time is rejected inline</t>
  </si>
  <si>
    <t>1. Edit time to a past date, Save</t>
  </si>
  <si>
    <t>Red error under the input, modal stays open, no toast</t>
  </si>
  <si>
    <t>DRAFT-005</t>
  </si>
  <si>
    <t>Edit text of a draft</t>
  </si>
  <si>
    <t>1. Hover a card → Edit text
2. Change text (bold, list), Save</t>
  </si>
  <si>
    <t>Card shows new text; a 'You edited post N…' card appears in chat</t>
  </si>
  <si>
    <t>DRAFT-006</t>
  </si>
  <si>
    <t>Edit image from a draft</t>
  </si>
  <si>
    <t>1. Hover a card → Edit image</t>
  </si>
  <si>
    <t>Edit modal / image editor opens for that post</t>
  </si>
  <si>
    <t>DRAFT-007</t>
  </si>
  <si>
    <t>Edit a post by prompt</t>
  </si>
  <si>
    <t>1. After drafts: 'make post 2 longer', 'add emoji to post 1'</t>
  </si>
  <si>
    <t>Only that post changes as asked, others untouched</t>
  </si>
  <si>
    <t>DRAFT-008</t>
  </si>
  <si>
    <t>Edit by prompt following a link / tone</t>
  </si>
  <si>
    <t>1. Ask to update a post following a given link / tone sample</t>
  </si>
  <si>
    <t>Post updated following that link / tone</t>
  </si>
  <si>
    <t>DRAFT-009</t>
  </si>
  <si>
    <t>Select a card to target the prompt</t>
  </si>
  <si>
    <t>1. Tick the checkbox on one card
2. Send a prompt</t>
  </si>
  <si>
    <t>'Prompting for: &lt;headline&gt;' pill shows; only that post is edited; selection clears after send</t>
  </si>
  <si>
    <t>DRAFT-010</t>
  </si>
  <si>
    <t>Generate more drafts</t>
  </si>
  <si>
    <t>1. Click 'Generate more drafts' under a set</t>
  </si>
  <si>
    <t>Skeleton cards append, then new drafts appear in the same set</t>
  </si>
  <si>
    <t>DRAFT-011</t>
  </si>
  <si>
    <t>Card actions on published post</t>
  </si>
  <si>
    <t>1. Find a published post card</t>
  </si>
  <si>
    <t>No checkbox / edit for published posts</t>
  </si>
  <si>
    <t>VER-001</t>
  </si>
  <si>
    <t>Post Version History</t>
  </si>
  <si>
    <t>Old card shows old version</t>
  </si>
  <si>
    <t>1. Edit a post by prompt
2. Scroll up to the earlier card</t>
  </si>
  <si>
    <t>Earlier card shows 'Old version · vN', no approve/edit</t>
  </si>
  <si>
    <t>VER-002</t>
  </si>
  <si>
    <t>Version history modal</t>
  </si>
  <si>
    <t>1. Click history icon on a card</t>
  </si>
  <si>
    <t>All versions listed with source, date, prompt; Current tagged; Show full post works</t>
  </si>
  <si>
    <t>VER-003</t>
  </si>
  <si>
    <t>Use this version (restore)</t>
  </si>
  <si>
    <t>1. On an old card or in history click 'Use this version'</t>
  </si>
  <si>
    <t>Old content comes back as a new version number; card becomes latest</t>
  </si>
  <si>
    <t>VER-004</t>
  </si>
  <si>
    <t>Restore an approved post</t>
  </si>
  <si>
    <t>1. Approve a post
2. Restore an older version</t>
  </si>
  <si>
    <t>Post goes back to Draft</t>
  </si>
  <si>
    <t>VER-005</t>
  </si>
  <si>
    <t>Read more on old version</t>
  </si>
  <si>
    <t>1. Click 'Read more' on an old card</t>
  </si>
  <si>
    <t>Modal shows full old post with 'Use this version'</t>
  </si>
  <si>
    <t>ATT-001</t>
  </si>
  <si>
    <t>Chat Attachments</t>
  </si>
  <si>
    <t>Attach a PDF</t>
  </si>
  <si>
    <t>1. Click + → Upload a PDF
2. Pick file</t>
  </si>
  <si>
    <t>'Uploading…' chip → '#1 file.pdf' chip (blue when ready)</t>
  </si>
  <si>
    <t>ATT-002</t>
  </si>
  <si>
    <t>Attach a URL</t>
  </si>
  <si>
    <t>1. Click + → Paste a URL → Add</t>
  </si>
  <si>
    <t>'#n url' chip appears and turns ready</t>
  </si>
  <si>
    <t>ATT-003</t>
  </si>
  <si>
    <t>Max 5 attachments</t>
  </si>
  <si>
    <t>1. Add 5 attachments
2. Open + again</t>
  </si>
  <si>
    <t>'Maximum 5 attachments reached.'; actions disabled</t>
  </si>
  <si>
    <t>ATT-004</t>
  </si>
  <si>
    <t>Numbers never reused</t>
  </si>
  <si>
    <t>1. Add #1, #2, #3
2. Remove #2
3. Add another</t>
  </si>
  <si>
    <t>Chips: #1, #3, #4</t>
  </si>
  <si>
    <t>ATT-005</t>
  </si>
  <si>
    <t>Remove attachment</t>
  </si>
  <si>
    <t>1. Click × on a chip</t>
  </si>
  <si>
    <t>Chip removed</t>
  </si>
  <si>
    <t>ATT-006</t>
  </si>
  <si>
    <t>Attachment used only when mentioned</t>
  </si>
  <si>
    <t>1. Attach a PDF
2. Send a prompt not mentioning it
3. Send 'use #1 as knowledge'</t>
  </si>
  <si>
    <t>Step 2 ignores it; step 3 uses it</t>
  </si>
  <si>
    <t>ATT-007</t>
  </si>
  <si>
    <t>Attachment as tone</t>
  </si>
  <si>
    <t>1. Send 'use #1 for tone'</t>
  </si>
  <si>
    <t>Post follows the attachment's writing style</t>
  </si>
  <si>
    <t>ATT-008</t>
  </si>
  <si>
    <t>Unclear attachment question</t>
  </si>
  <si>
    <t>1. With 2 attachments send 'use the attachment'</t>
  </si>
  <si>
    <t>Agent asks which one / how to use; Next disabled until picked</t>
  </si>
  <si>
    <t>ATT-009</t>
  </si>
  <si>
    <t>Failed attachment</t>
  </si>
  <si>
    <t>1. Attach a broken URL</t>
  </si>
  <si>
    <t>Red 'Failed' chip with error on hover</t>
  </si>
  <si>
    <t>ATT-010</t>
  </si>
  <si>
    <t>Send blocked while uploading</t>
  </si>
  <si>
    <t>1. Attach a big PDF and send right away</t>
  </si>
  <si>
    <t>Can't send until upload is ready</t>
  </si>
  <si>
    <t>RA-001</t>
  </si>
  <si>
    <t>Review &amp; Approval</t>
  </si>
  <si>
    <t>Drafts listed for review</t>
  </si>
  <si>
    <t>1. Open Post Management</t>
  </si>
  <si>
    <t>All drafts show as cards with pagination</t>
  </si>
  <si>
    <t>RA-002</t>
  </si>
  <si>
    <t>Filter by conversation</t>
  </si>
  <si>
    <t>1. Pick a conversation in the filter</t>
  </si>
  <si>
    <t>Only drafts from that conversation show</t>
  </si>
  <si>
    <t>RA-003</t>
  </si>
  <si>
    <t>Page size and pages</t>
  </si>
  <si>
    <t>1. Change page size (4–20)
2. Go to next page</t>
  </si>
  <si>
    <t>Correct number of cards per page</t>
  </si>
  <si>
    <t>RA-004</t>
  </si>
  <si>
    <t>Approve from review</t>
  </si>
  <si>
    <t>1. Click ✓ on a review card</t>
  </si>
  <si>
    <t>Post moves to Approved in the table</t>
  </si>
  <si>
    <t>RA-005</t>
  </si>
  <si>
    <t>Edit text from review</t>
  </si>
  <si>
    <t>1. Hover → Edit text
2. Change, Save</t>
  </si>
  <si>
    <t>Post updated</t>
  </si>
  <si>
    <t>RA-006</t>
  </si>
  <si>
    <t>Edit image from review</t>
  </si>
  <si>
    <t>1. Hover → Edit image</t>
  </si>
  <si>
    <t>Opens Edit Image page for that post; back returns to review</t>
  </si>
  <si>
    <t>RA-007</t>
  </si>
  <si>
    <t>Edit with agent</t>
  </si>
  <si>
    <t>1. Hover → Edit with agent
2. Send a change</t>
  </si>
  <si>
    <t>Agent page opens with the post; the change is applied</t>
  </si>
  <si>
    <t>RA-008</t>
  </si>
  <si>
    <t>Edit with agent twice = same chat</t>
  </si>
  <si>
    <t>1. Click Edit with agent on the same post again</t>
  </si>
  <si>
    <t>Opens the same conversation; no duplicate chat created</t>
  </si>
  <si>
    <t>PM-001</t>
  </si>
  <si>
    <t>Post Management</t>
  </si>
  <si>
    <t>Stats cards</t>
  </si>
  <si>
    <t>1. Open Post Management
2. Compare numbers with real posts</t>
  </si>
  <si>
    <t>Drafts / approved / scheduled / published / failed counts are correct</t>
  </si>
  <si>
    <t>PM-002</t>
  </si>
  <si>
    <t>Filter by status</t>
  </si>
  <si>
    <t>1. Use Filter → each status</t>
  </si>
  <si>
    <t>Only that status shows</t>
  </si>
  <si>
    <t>PM-003</t>
  </si>
  <si>
    <t>Schedule an approved post</t>
  </si>
  <si>
    <t>1. Click Schedule on an approved post
2. Pick a future time</t>
  </si>
  <si>
    <t>'Post scheduled!' toast; status = Scheduled with that time</t>
  </si>
  <si>
    <t>PM-004</t>
  </si>
  <si>
    <t>Reschedule a scheduled post</t>
  </si>
  <si>
    <t>1. Click Reschedule
2. Pick new time</t>
  </si>
  <si>
    <t>'Post rescheduled!'; new time shown</t>
  </si>
  <si>
    <t>PM-005</t>
  </si>
  <si>
    <t>Re-schedule from the agent chat</t>
  </si>
  <si>
    <t>1. After a post is scheduled, ask the agent to change its time</t>
  </si>
  <si>
    <t>Schedule updates correctly</t>
  </si>
  <si>
    <t>PM-006</t>
  </si>
  <si>
    <t>Schedule in the past</t>
  </si>
  <si>
    <t>1. Try to schedule a past time</t>
  </si>
  <si>
    <t>Rejected with clear error</t>
  </si>
  <si>
    <t>PM-007</t>
  </si>
  <si>
    <t>Move back to draft</t>
  </si>
  <si>
    <t>1. Click Move back to draft on approved / scheduled post
2. Confirm</t>
  </si>
  <si>
    <t>Post is Draft again and in Review</t>
  </si>
  <si>
    <t>PM-008</t>
  </si>
  <si>
    <t>Delete a post</t>
  </si>
  <si>
    <t>1. Delete a post
2. Confirm</t>
  </si>
  <si>
    <t>'Post deleted.'; removed everywhere</t>
  </si>
  <si>
    <t>PM-009</t>
  </si>
  <si>
    <t>Bulk delete</t>
  </si>
  <si>
    <t>1. Select several posts
2. Delete</t>
  </si>
  <si>
    <t>'N posts deleted.'</t>
  </si>
  <si>
    <t>PM-010</t>
  </si>
  <si>
    <t>Calendar view drag to reschedule</t>
  </si>
  <si>
    <t>1. Switch to calendar (month / week)
2. Drag a post to another day</t>
  </si>
  <si>
    <t>'Post moved.' and date updated</t>
  </si>
  <si>
    <t>PM-011</t>
  </si>
  <si>
    <t>Open published post on LinkedIn</t>
  </si>
  <si>
    <t>1. Click LinkedIn link on a published post</t>
  </si>
  <si>
    <t>Opens the real post on LinkedIn</t>
  </si>
  <si>
    <t>PUB-001</t>
  </si>
  <si>
    <t>Publishing</t>
  </si>
  <si>
    <t>Scheduled post publishes on time</t>
  </si>
  <si>
    <t>1. Schedule a post a few minutes ahead
2. Wait</t>
  </si>
  <si>
    <t>Post is live on LinkedIn at that time; status = Published</t>
  </si>
  <si>
    <t>PUB-002</t>
  </si>
  <si>
    <t>Published post content is correct</t>
  </si>
  <si>
    <t>1. Compare the LinkedIn post with the draft</t>
  </si>
  <si>
    <t>Text, line breaks, emoji, hashtags, link and image match</t>
  </si>
  <si>
    <t>PUB-003</t>
  </si>
  <si>
    <t>Publish fails gracefully</t>
  </si>
  <si>
    <t>1. Disconnect LinkedIn / expire token
2. Let a scheduled post run</t>
  </si>
  <si>
    <t>Status = Failed with a reason; no silent loss</t>
  </si>
  <si>
    <t>IMG-001</t>
  </si>
  <si>
    <t>Edit Image (Image Chat)</t>
  </si>
  <si>
    <t>Open Edit Image page</t>
  </si>
  <si>
    <t>1. Open Edit image on a post</t>
  </si>
  <si>
    <t>Chat, post preview and media tabs load; existing image shown</t>
  </si>
  <si>
    <t>IMG-002</t>
  </si>
  <si>
    <t>Generate an image from prompt</t>
  </si>
  <si>
    <t>1. Type a prompt, Send</t>
  </si>
  <si>
    <t>Your message shows at once; thinking steps; image appears</t>
  </si>
  <si>
    <t>IMG-003</t>
  </si>
  <si>
    <t>Add image to post</t>
  </si>
  <si>
    <t>1. Click Add to post on an image</t>
  </si>
  <si>
    <t>Preview + media update; button shows Added</t>
  </si>
  <si>
    <t>IMG-004</t>
  </si>
  <si>
    <t>Added state survives reload</t>
  </si>
  <si>
    <t>1. Reload after adding</t>
  </si>
  <si>
    <t>Preview, media and Added button still correct</t>
  </si>
  <si>
    <t>IMG-005</t>
  </si>
  <si>
    <t>Delete post image</t>
  </si>
  <si>
    <t>1. Delete image in media section</t>
  </si>
  <si>
    <t>Image removed from post</t>
  </si>
  <si>
    <t>IMG-006</t>
  </si>
  <si>
    <t>Edit an existing image by prompt</t>
  </si>
  <si>
    <t>1. Ask 'make it realistic' / 'change background to blue'</t>
  </si>
  <si>
    <t>New image follows the request</t>
  </si>
  <si>
    <t>IMG-007</t>
  </si>
  <si>
    <t>'AI generated image' suggestion</t>
  </si>
  <si>
    <t>1. Click 'AI generated image' link under the last message</t>
  </si>
  <si>
    <t>A new AI image is generated</t>
  </si>
  <si>
    <t>IMG-008</t>
  </si>
  <si>
    <t>Use post body on / off</t>
  </si>
  <si>
    <t>1. Toggle Use post body in Image agent settings
2. Generate</t>
  </si>
  <si>
    <t>On: image relates to the post; Off: follows prompt only</t>
  </si>
  <si>
    <t>IMG-009</t>
  </si>
  <si>
    <t>Change AI model</t>
  </si>
  <si>
    <t>1. Open AI model menu, pick another</t>
  </si>
  <si>
    <t>Selection saved; next image uses it</t>
  </si>
  <si>
    <t>IMG-010</t>
  </si>
  <si>
    <t>Change image style</t>
  </si>
  <si>
    <t>1. Open Style menu, pick a style (or None)</t>
  </si>
  <si>
    <t>Next image uses that style</t>
  </si>
  <si>
    <t>IMG-011</t>
  </si>
  <si>
    <t>Change media size / ratio</t>
  </si>
  <si>
    <t>1. Open ratio, pick e.g. 1:1 or 16:9</t>
  </si>
  <si>
    <t>Next image is in that ratio</t>
  </si>
  <si>
    <t>IMG-012</t>
  </si>
  <si>
    <t>Image sizes look right</t>
  </si>
  <si>
    <t>1. Generate landscape, portrait, square</t>
  </si>
  <si>
    <t>No cropping in chat, preview, lightbox</t>
  </si>
  <si>
    <t>IMG-013</t>
  </si>
  <si>
    <t>Download / open large image</t>
  </si>
  <si>
    <t>1. Click image → lightbox
2. Download</t>
  </si>
  <si>
    <t>Large view opens; file downloads</t>
  </si>
  <si>
    <t>IMG-014</t>
  </si>
  <si>
    <t>Chat scroll</t>
  </si>
  <si>
    <t>1. Open a long chat
2. Scroll up, then use 'Scroll to newest'</t>
  </si>
  <si>
    <t>Opens at bottom; scroll button jumps to newest</t>
  </si>
  <si>
    <t>IMG-015</t>
  </si>
  <si>
    <t>Published post is read-only</t>
  </si>
  <si>
    <t>1. Open Edit image for a published post</t>
  </si>
  <si>
    <t>No composer / stock button</t>
  </si>
  <si>
    <t>IMG-016</t>
  </si>
  <si>
    <t>Disabled toolbar buttons</t>
  </si>
  <si>
    <t>1. Hover emoji / paperclip</t>
  </si>
  <si>
    <t>Disabled with 'Soon' tooltip</t>
  </si>
  <si>
    <t>STOCK-001</t>
  </si>
  <si>
    <t>Stock Image (Pexels)</t>
  </si>
  <si>
    <t>Recommended stock photos</t>
  </si>
  <si>
    <t>1. Click Stock image</t>
  </si>
  <si>
    <t>Photos recommended for the post load (skeleton first)</t>
  </si>
  <si>
    <t>STOCK-002</t>
  </si>
  <si>
    <t>Search stock photos</t>
  </si>
  <si>
    <t>1. Type a search
2. Scroll down</t>
  </si>
  <si>
    <t>Results update as you type; more load on scroll</t>
  </si>
  <si>
    <t>STOCK-003</t>
  </si>
  <si>
    <t>Add stock photo to post</t>
  </si>
  <si>
    <t>1. Hover a photo → Add to post</t>
  </si>
  <si>
    <t>Modal closes; post image updated; 'Added a stock photo' card in chat</t>
  </si>
  <si>
    <t>STOCK-004</t>
  </si>
  <si>
    <t>Large preview</t>
  </si>
  <si>
    <t>1. Click a photo</t>
  </si>
  <si>
    <t>Large view with photographer + Back / Add to post</t>
  </si>
  <si>
    <t>STOCK-005</t>
  </si>
  <si>
    <t>Modal closes only with ✕</t>
  </si>
  <si>
    <t>1. Click outside / press Esc</t>
  </si>
  <si>
    <t>Modal stays open</t>
  </si>
  <si>
    <t>STOCK-006</t>
  </si>
  <si>
    <t>No results / error</t>
  </si>
  <si>
    <t>1. Search nonsense text</t>
  </si>
  <si>
    <t>'No photos found for …'; errors show Retry</t>
  </si>
  <si>
    <t>IKB-001</t>
  </si>
  <si>
    <t>Image Knowledge Base</t>
  </si>
  <si>
    <t>Add image knowledge link / PDF</t>
  </si>
  <si>
    <t>1. Open Image knowledge base
2. Add URL or PDF with note</t>
  </si>
  <si>
    <t>Source added, Pending → Ready, switched On</t>
  </si>
  <si>
    <t>IKB-002</t>
  </si>
  <si>
    <t>Write it yourself (text)</t>
  </si>
  <si>
    <t>1. Type brand rules in the text box
2. Add text</t>
  </si>
  <si>
    <t>Text source added (max 8,000 chars)</t>
  </si>
  <si>
    <t>IKB-003</t>
  </si>
  <si>
    <t>Edit a text source</t>
  </si>
  <si>
    <t>1. Click pencil on a text row
2. Change, Save changes</t>
  </si>
  <si>
    <t>Text updated, same position and switch</t>
  </si>
  <si>
    <t>IKB-004</t>
  </si>
  <si>
    <t>Delete image knowledge source</t>
  </si>
  <si>
    <t>1. Delete a row, confirm</t>
  </si>
  <si>
    <t>Removed from list and settings</t>
  </si>
  <si>
    <t>IKB-005</t>
  </si>
  <si>
    <t>Image knowledge switches</t>
  </si>
  <si>
    <t>1. In Image agent settings turn sources on / off</t>
  </si>
  <si>
    <t>Each switch independent; saved</t>
  </si>
  <si>
    <t>IKB-006</t>
  </si>
  <si>
    <t>Images follow image knowledge</t>
  </si>
  <si>
    <t>1. Add brand rules (e.g. colors)
2. Turn on
3. Generate image</t>
  </si>
  <si>
    <t>Image follows the brand guide</t>
  </si>
  <si>
    <t>Leads</t>
  </si>
  <si>
    <t>Test Summary (updates automatically from 'Test Cases')</t>
  </si>
  <si>
    <t>Overall</t>
  </si>
  <si>
    <t>Count</t>
  </si>
  <si>
    <t>Total test cases</t>
  </si>
  <si>
    <t>In Progress</t>
  </si>
  <si>
    <t>Pass</t>
  </si>
  <si>
    <t>Fail</t>
  </si>
  <si>
    <t>Blocked</t>
  </si>
  <si>
    <t>Not Applicable</t>
  </si>
  <si>
    <t>Pass rate (of tested)</t>
  </si>
  <si>
    <t>Total</t>
  </si>
  <si>
    <t>How to use this sheet</t>
  </si>
  <si>
    <t>Columns A–I</t>
  </si>
  <si>
    <t>Same order as the existing tester sheet (Test ID → Comments), so rows can be copied between both sheets. Priority is the extra column J.</t>
  </si>
  <si>
    <t>Fill in</t>
  </si>
  <si>
    <t>Tester fills only: Actual Result (F), Status (G), Tester (H), Comments (I). Columns A–E and J are the test plan.</t>
  </si>
  <si>
    <t>Not Started · In Progress · Pass · Fail · Blocked (can't test, e.g. backend down) · Not Applicable. A Fail turns the row pink.</t>
  </si>
  <si>
    <t>Important = core flow; a fail blocks release (login, generate, approve, schedule, publish, data isolation).
Medium = main feature works but a secondary path is broken.
Low = cosmetic, edge case, or nice-to-have.</t>
  </si>
  <si>
    <t>New cases</t>
  </si>
  <si>
    <t>30 empty rows are left under the last case. Use the same prefix + next number (e.g. IMG-017).</t>
  </si>
  <si>
    <t>Summary tab</t>
  </si>
  <si>
    <t>Counts by status, priority and feature area — updates on its own.</t>
  </si>
  <si>
    <t>Example</t>
  </si>
  <si>
    <t>Actual Result: 'Image stays the same, only colours change'  ·  Status: Fail  ·  Tester: Sazzad  ·  Comments: 'Prompt: make it realistic — link / screenshot'</t>
  </si>
  <si>
    <t>ID prefixes</t>
  </si>
  <si>
    <t>LOGIN = Login &amp; Account, WS = Workspace, NAV = Navigation &amp; Layout, ACC = LinkedIn Account Connection, KB = Knowledge Base, TONE = Tone / Style, AUD = Audience &amp; Post Length, SET = Composer Settings, AGT = Agent Chat (Generate Posts), DRAFT = Draft Cards (in chat), VER = Post Version History, ATT = Chat Attachments, RA = Review &amp; Approval, PM = Post Management, PUB = Publishing, IMG = Edit Image (Image Chat), STOCK = Stock Image (Pexels), IKB = Image Knowledge Base, LEADS = 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</si>
</sst>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0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3E0B5C"/>
        <bgColor rgb="FF3E0B5C"/>
      </patternFill>
    </fill>
    <fill>
      <patternFill patternType="solid">
        <fgColor rgb="FF3A3A3A"/>
        <bgColor rgb="FF3A3A3A"/>
      </patternFill>
    </fill>
    <fill>
      <patternFill patternType="solid">
        <fgColor rgb="FFFFE08A"/>
        <bgColor rgb="FFFFE08A"/>
      </patternFill>
    </fill>
    <fill>
      <patternFill patternType="solid">
        <fgColor rgb="FFFFF8E1"/>
        <bgColor rgb="FFFFF8E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center" indent="1"/>
    </xf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9">
    <dxf>
      <font>
        <color rgb="FF1F4E78"/>
        <name val="Arial"/>
      </font>
      <fill>
        <patternFill patternType="solid">
          <fgColor rgb="FFDDEBF7"/>
          <bgColor rgb="FFDDEBF7"/>
        </patternFill>
      </fill>
    </dxf>
    <dxf>
      <font>
        <b/>
        <color rgb="FF9C5700"/>
        <name val="Arial"/>
      </font>
      <fill>
        <patternFill patternType="solid">
          <fgColor rgb="FFFFEB9C"/>
          <bgColor rgb="FFFFEB9C"/>
        </patternFill>
      </fill>
    </dxf>
    <dxf>
      <font>
        <b/>
        <color rgb="FF9C0006"/>
        <name val="Arial"/>
      </font>
      <fill>
        <patternFill patternType="solid">
          <fgColor rgb="FFF8CBAD"/>
          <bgColor rgb="FFF8CBAD"/>
        </patternFill>
      </fill>
    </dxf>
    <dxf>
      <fill>
        <patternFill patternType="solid">
          <fgColor rgb="FFFBE3E4"/>
          <bgColor rgb="FFFBE3E4"/>
        </patternFill>
      </fill>
    </dxf>
    <dxf>
      <font>
        <color rgb="FF808080"/>
        <name val="Arial"/>
      </font>
      <fill>
        <patternFill patternType="solid">
          <fgColor rgb="FFEDEDED"/>
          <bgColor rgb="FFEDEDED"/>
        </patternFill>
      </fill>
    </dxf>
    <dxf>
      <font>
        <b/>
        <color rgb="FF404040"/>
        <name val="Arial"/>
      </font>
      <fill>
        <patternFill patternType="solid">
          <fgColor rgb="FFD9D9D9"/>
          <bgColor rgb="FFD9D9D9"/>
        </patternFill>
      </fill>
    </dxf>
    <dxf>
      <font>
        <b/>
        <color rgb="FF9C5700"/>
        <name val="Arial"/>
      </font>
      <fill>
        <patternFill patternType="solid">
          <fgColor rgb="FFFFE699"/>
          <bgColor rgb="FFFFE699"/>
        </patternFill>
      </fill>
    </dxf>
    <dxf>
      <font>
        <b/>
        <color rgb="FFC00000"/>
        <name val="Arial"/>
      </font>
      <fill>
        <patternFill patternType="solid">
          <fgColor rgb="FFF4C7C3"/>
          <bgColor rgb="FFF4C7C3"/>
        </patternFill>
      </fill>
    </dxf>
    <dxf>
      <font>
        <b/>
        <color rgb="FF006100"/>
        <name val="Arial"/>
      </font>
      <fill>
        <patternFill patternType="solid">
          <fgColor rgb="FFC8EFCE"/>
          <bgColor rgb="FFC8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2"/>
  <sheetViews>
    <sheetView tabSelected="1" zoomScale="90" workbookViewId="0">
      <pane xSplit="1" ySplit="2" topLeftCell="B63" activePane="bottomRight" state="frozen"/>
      <selection pane="topRight"/>
      <selection pane="bottomLeft"/>
      <selection pane="bottomRight" activeCell="E70" sqref="E70"/>
    </sheetView>
  </sheetViews>
  <sheetFormatPr defaultRowHeight="14.4" x14ac:dyDescent="0.3"/>
  <cols>
    <col min="1" max="1" width="12" customWidth="1"/>
    <col min="2" max="2" width="21.21875" customWidth="1"/>
    <col min="3" max="3" width="32" customWidth="1"/>
    <col min="4" max="4" width="42" customWidth="1"/>
    <col min="5" max="5" width="40" customWidth="1"/>
    <col min="6" max="6" width="36" customWidth="1"/>
    <col min="7" max="7" width="14" customWidth="1"/>
    <col min="8" max="8" width="12" customWidth="1"/>
    <col min="9" max="9" width="30" customWidth="1"/>
    <col min="10" max="10" width="13" customWidth="1"/>
  </cols>
  <sheetData>
    <row r="1" spans="1:10" ht="28.0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3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2" t="s">
        <v>8</v>
      </c>
      <c r="I2" s="2" t="s">
        <v>9</v>
      </c>
      <c r="J2" s="1" t="s">
        <v>10</v>
      </c>
    </row>
    <row r="3" spans="1:10" ht="61.95" customHeight="1" x14ac:dyDescent="0.3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/>
      <c r="G3" s="5" t="s">
        <v>619</v>
      </c>
      <c r="H3" s="5"/>
      <c r="I3" s="6"/>
      <c r="J3" s="3" t="s">
        <v>17</v>
      </c>
    </row>
    <row r="4" spans="1:10" ht="48" customHeight="1" x14ac:dyDescent="0.3">
      <c r="A4" s="3" t="s">
        <v>18</v>
      </c>
      <c r="B4" s="4" t="s">
        <v>12</v>
      </c>
      <c r="C4" s="4" t="s">
        <v>19</v>
      </c>
      <c r="D4" s="4" t="s">
        <v>20</v>
      </c>
      <c r="E4" s="4" t="s">
        <v>21</v>
      </c>
      <c r="F4" s="4"/>
      <c r="G4" s="5" t="s">
        <v>619</v>
      </c>
      <c r="H4" s="5"/>
      <c r="I4" s="6"/>
      <c r="J4" s="3" t="s">
        <v>22</v>
      </c>
    </row>
    <row r="5" spans="1:10" ht="48" customHeight="1" x14ac:dyDescent="0.3">
      <c r="A5" s="3" t="s">
        <v>23</v>
      </c>
      <c r="B5" s="4" t="s">
        <v>12</v>
      </c>
      <c r="C5" s="4" t="s">
        <v>24</v>
      </c>
      <c r="D5" s="4" t="s">
        <v>25</v>
      </c>
      <c r="E5" s="4" t="s">
        <v>26</v>
      </c>
      <c r="F5" s="4"/>
      <c r="G5" s="5" t="s">
        <v>16</v>
      </c>
      <c r="H5" s="5"/>
      <c r="I5" s="6"/>
      <c r="J5" s="3" t="s">
        <v>17</v>
      </c>
    </row>
    <row r="6" spans="1:10" ht="34.049999999999997" customHeight="1" x14ac:dyDescent="0.3">
      <c r="A6" s="3" t="s">
        <v>27</v>
      </c>
      <c r="B6" s="4" t="s">
        <v>12</v>
      </c>
      <c r="C6" s="4" t="s">
        <v>28</v>
      </c>
      <c r="D6" s="4" t="s">
        <v>29</v>
      </c>
      <c r="E6" s="4" t="s">
        <v>30</v>
      </c>
      <c r="F6" s="4"/>
      <c r="G6" s="5" t="s">
        <v>16</v>
      </c>
      <c r="H6" s="5"/>
      <c r="I6" s="6"/>
      <c r="J6" s="3" t="s">
        <v>17</v>
      </c>
    </row>
    <row r="7" spans="1:10" ht="48" customHeight="1" x14ac:dyDescent="0.3">
      <c r="A7" s="3" t="s">
        <v>31</v>
      </c>
      <c r="B7" s="4" t="s">
        <v>12</v>
      </c>
      <c r="C7" s="4" t="s">
        <v>32</v>
      </c>
      <c r="D7" s="4" t="s">
        <v>33</v>
      </c>
      <c r="E7" s="4" t="s">
        <v>34</v>
      </c>
      <c r="F7" s="4"/>
      <c r="G7" s="5" t="s">
        <v>16</v>
      </c>
      <c r="H7" s="5"/>
      <c r="I7" s="6"/>
      <c r="J7" s="3" t="s">
        <v>17</v>
      </c>
    </row>
    <row r="8" spans="1:10" ht="48" customHeight="1" x14ac:dyDescent="0.3">
      <c r="A8" s="3" t="s">
        <v>35</v>
      </c>
      <c r="B8" s="4" t="s">
        <v>12</v>
      </c>
      <c r="C8" s="4" t="s">
        <v>36</v>
      </c>
      <c r="D8" s="4" t="s">
        <v>37</v>
      </c>
      <c r="E8" s="4" t="s">
        <v>38</v>
      </c>
      <c r="F8" s="4"/>
      <c r="G8" s="5" t="s">
        <v>16</v>
      </c>
      <c r="H8" s="5"/>
      <c r="I8" s="6"/>
      <c r="J8" s="3" t="s">
        <v>22</v>
      </c>
    </row>
    <row r="9" spans="1:10" ht="61.95" customHeight="1" x14ac:dyDescent="0.3">
      <c r="A9" s="3" t="s">
        <v>39</v>
      </c>
      <c r="B9" s="4" t="s">
        <v>12</v>
      </c>
      <c r="C9" s="4" t="s">
        <v>40</v>
      </c>
      <c r="D9" s="4" t="s">
        <v>41</v>
      </c>
      <c r="E9" s="4" t="s">
        <v>42</v>
      </c>
      <c r="F9" s="4"/>
      <c r="G9" s="5" t="s">
        <v>16</v>
      </c>
      <c r="H9" s="5"/>
      <c r="I9" s="6"/>
      <c r="J9" s="3" t="s">
        <v>22</v>
      </c>
    </row>
    <row r="10" spans="1:10" ht="34.049999999999997" customHeight="1" x14ac:dyDescent="0.3">
      <c r="A10" s="3" t="s">
        <v>43</v>
      </c>
      <c r="B10" s="4" t="s">
        <v>12</v>
      </c>
      <c r="C10" s="4" t="s">
        <v>44</v>
      </c>
      <c r="D10" s="4" t="s">
        <v>45</v>
      </c>
      <c r="E10" s="4" t="s">
        <v>46</v>
      </c>
      <c r="F10" s="4"/>
      <c r="G10" s="5" t="s">
        <v>16</v>
      </c>
      <c r="H10" s="5"/>
      <c r="I10" s="6"/>
      <c r="J10" s="3" t="s">
        <v>47</v>
      </c>
    </row>
    <row r="11" spans="1:10" ht="48" customHeight="1" x14ac:dyDescent="0.3">
      <c r="A11" s="3" t="s">
        <v>48</v>
      </c>
      <c r="B11" s="4" t="s">
        <v>49</v>
      </c>
      <c r="C11" s="4" t="s">
        <v>50</v>
      </c>
      <c r="D11" s="4" t="s">
        <v>51</v>
      </c>
      <c r="E11" s="4" t="s">
        <v>52</v>
      </c>
      <c r="F11" s="4"/>
      <c r="G11" s="5" t="s">
        <v>16</v>
      </c>
      <c r="H11" s="5"/>
      <c r="I11" s="6"/>
      <c r="J11" s="3" t="s">
        <v>17</v>
      </c>
    </row>
    <row r="12" spans="1:10" ht="34.049999999999997" customHeight="1" x14ac:dyDescent="0.3">
      <c r="A12" s="3" t="s">
        <v>53</v>
      </c>
      <c r="B12" s="4" t="s">
        <v>49</v>
      </c>
      <c r="C12" s="4" t="s">
        <v>54</v>
      </c>
      <c r="D12" s="4" t="s">
        <v>55</v>
      </c>
      <c r="E12" s="4" t="s">
        <v>56</v>
      </c>
      <c r="F12" s="4"/>
      <c r="G12" s="5" t="s">
        <v>16</v>
      </c>
      <c r="H12" s="5"/>
      <c r="I12" s="6"/>
      <c r="J12" s="3" t="s">
        <v>22</v>
      </c>
    </row>
    <row r="13" spans="1:10" ht="48" customHeight="1" x14ac:dyDescent="0.3">
      <c r="A13" s="3" t="s">
        <v>57</v>
      </c>
      <c r="B13" s="4" t="s">
        <v>49</v>
      </c>
      <c r="C13" s="4" t="s">
        <v>58</v>
      </c>
      <c r="D13" s="4" t="s">
        <v>59</v>
      </c>
      <c r="E13" s="4" t="s">
        <v>60</v>
      </c>
      <c r="F13" s="4"/>
      <c r="G13" s="5" t="s">
        <v>16</v>
      </c>
      <c r="H13" s="5"/>
      <c r="I13" s="6"/>
      <c r="J13" s="3" t="s">
        <v>17</v>
      </c>
    </row>
    <row r="14" spans="1:10" ht="48" customHeight="1" x14ac:dyDescent="0.3">
      <c r="A14" s="3" t="s">
        <v>61</v>
      </c>
      <c r="B14" s="4" t="s">
        <v>49</v>
      </c>
      <c r="C14" s="4" t="s">
        <v>62</v>
      </c>
      <c r="D14" s="4" t="s">
        <v>63</v>
      </c>
      <c r="E14" s="4" t="s">
        <v>64</v>
      </c>
      <c r="F14" s="4"/>
      <c r="G14" s="5" t="s">
        <v>16</v>
      </c>
      <c r="H14" s="5"/>
      <c r="I14" s="6"/>
      <c r="J14" s="3" t="s">
        <v>47</v>
      </c>
    </row>
    <row r="15" spans="1:10" ht="34.049999999999997" customHeight="1" x14ac:dyDescent="0.3">
      <c r="A15" s="3" t="s">
        <v>65</v>
      </c>
      <c r="B15" s="4" t="s">
        <v>66</v>
      </c>
      <c r="C15" s="4" t="s">
        <v>67</v>
      </c>
      <c r="D15" s="4" t="s">
        <v>68</v>
      </c>
      <c r="E15" s="4" t="s">
        <v>69</v>
      </c>
      <c r="F15" s="4"/>
      <c r="G15" s="5" t="s">
        <v>16</v>
      </c>
      <c r="H15" s="5"/>
      <c r="I15" s="6"/>
      <c r="J15" s="3" t="s">
        <v>22</v>
      </c>
    </row>
    <row r="16" spans="1:10" ht="48" customHeight="1" x14ac:dyDescent="0.3">
      <c r="A16" s="3" t="s">
        <v>70</v>
      </c>
      <c r="B16" s="4" t="s">
        <v>66</v>
      </c>
      <c r="C16" s="4" t="s">
        <v>71</v>
      </c>
      <c r="D16" s="4" t="s">
        <v>72</v>
      </c>
      <c r="E16" s="4" t="s">
        <v>73</v>
      </c>
      <c r="F16" s="4"/>
      <c r="G16" s="5" t="s">
        <v>16</v>
      </c>
      <c r="H16" s="5"/>
      <c r="I16" s="6"/>
      <c r="J16" s="3" t="s">
        <v>47</v>
      </c>
    </row>
    <row r="17" spans="1:10" ht="34.049999999999997" customHeight="1" x14ac:dyDescent="0.3">
      <c r="A17" s="3" t="s">
        <v>74</v>
      </c>
      <c r="B17" s="4" t="s">
        <v>66</v>
      </c>
      <c r="C17" s="4" t="s">
        <v>75</v>
      </c>
      <c r="D17" s="4" t="s">
        <v>76</v>
      </c>
      <c r="E17" s="4" t="s">
        <v>77</v>
      </c>
      <c r="F17" s="4"/>
      <c r="G17" s="5" t="s">
        <v>16</v>
      </c>
      <c r="H17" s="5"/>
      <c r="I17" s="6"/>
      <c r="J17" s="3" t="s">
        <v>47</v>
      </c>
    </row>
    <row r="18" spans="1:10" ht="34.049999999999997" customHeight="1" x14ac:dyDescent="0.3">
      <c r="A18" s="3" t="s">
        <v>78</v>
      </c>
      <c r="B18" s="4" t="s">
        <v>66</v>
      </c>
      <c r="C18" s="4" t="s">
        <v>79</v>
      </c>
      <c r="D18" s="4" t="s">
        <v>80</v>
      </c>
      <c r="E18" s="4" t="s">
        <v>81</v>
      </c>
      <c r="F18" s="4"/>
      <c r="G18" s="5" t="s">
        <v>16</v>
      </c>
      <c r="H18" s="5"/>
      <c r="I18" s="6"/>
      <c r="J18" s="3" t="s">
        <v>47</v>
      </c>
    </row>
    <row r="19" spans="1:10" ht="48" customHeight="1" x14ac:dyDescent="0.3">
      <c r="A19" s="3" t="s">
        <v>82</v>
      </c>
      <c r="B19" s="4" t="s">
        <v>83</v>
      </c>
      <c r="C19" s="4" t="s">
        <v>84</v>
      </c>
      <c r="D19" s="4" t="s">
        <v>85</v>
      </c>
      <c r="E19" s="4" t="s">
        <v>86</v>
      </c>
      <c r="F19" s="4"/>
      <c r="G19" s="5" t="s">
        <v>16</v>
      </c>
      <c r="H19" s="5"/>
      <c r="I19" s="6"/>
      <c r="J19" s="3" t="s">
        <v>17</v>
      </c>
    </row>
    <row r="20" spans="1:10" ht="34.049999999999997" customHeight="1" x14ac:dyDescent="0.3">
      <c r="A20" s="3" t="s">
        <v>87</v>
      </c>
      <c r="B20" s="4" t="s">
        <v>83</v>
      </c>
      <c r="C20" s="4" t="s">
        <v>88</v>
      </c>
      <c r="D20" s="4" t="s">
        <v>89</v>
      </c>
      <c r="E20" s="4" t="s">
        <v>90</v>
      </c>
      <c r="F20" s="4"/>
      <c r="G20" s="5" t="s">
        <v>16</v>
      </c>
      <c r="H20" s="5"/>
      <c r="I20" s="6"/>
      <c r="J20" s="3" t="s">
        <v>22</v>
      </c>
    </row>
    <row r="21" spans="1:10" ht="34.049999999999997" customHeight="1" x14ac:dyDescent="0.3">
      <c r="A21" s="3" t="s">
        <v>91</v>
      </c>
      <c r="B21" s="4" t="s">
        <v>83</v>
      </c>
      <c r="C21" s="4" t="s">
        <v>92</v>
      </c>
      <c r="D21" s="4" t="s">
        <v>93</v>
      </c>
      <c r="E21" s="4" t="s">
        <v>94</v>
      </c>
      <c r="F21" s="4"/>
      <c r="G21" s="5" t="s">
        <v>16</v>
      </c>
      <c r="H21" s="5"/>
      <c r="I21" s="6"/>
      <c r="J21" s="3" t="s">
        <v>22</v>
      </c>
    </row>
    <row r="22" spans="1:10" ht="34.049999999999997" customHeight="1" x14ac:dyDescent="0.3">
      <c r="A22" s="3" t="s">
        <v>95</v>
      </c>
      <c r="B22" s="4" t="s">
        <v>83</v>
      </c>
      <c r="C22" s="4" t="s">
        <v>96</v>
      </c>
      <c r="D22" s="4" t="s">
        <v>97</v>
      </c>
      <c r="E22" s="4" t="s">
        <v>98</v>
      </c>
      <c r="F22" s="4"/>
      <c r="G22" s="5" t="s">
        <v>16</v>
      </c>
      <c r="H22" s="5"/>
      <c r="I22" s="6"/>
      <c r="J22" s="3" t="s">
        <v>17</v>
      </c>
    </row>
    <row r="23" spans="1:10" ht="48" customHeight="1" x14ac:dyDescent="0.3">
      <c r="A23" s="3" t="s">
        <v>99</v>
      </c>
      <c r="B23" s="4" t="s">
        <v>100</v>
      </c>
      <c r="C23" s="4" t="s">
        <v>101</v>
      </c>
      <c r="D23" s="4" t="s">
        <v>102</v>
      </c>
      <c r="E23" s="4" t="s">
        <v>103</v>
      </c>
      <c r="F23" s="4"/>
      <c r="G23" s="5" t="s">
        <v>16</v>
      </c>
      <c r="H23" s="5"/>
      <c r="I23" s="6"/>
      <c r="J23" s="3" t="s">
        <v>17</v>
      </c>
    </row>
    <row r="24" spans="1:10" ht="48" customHeight="1" x14ac:dyDescent="0.3">
      <c r="A24" s="3" t="s">
        <v>104</v>
      </c>
      <c r="B24" s="4" t="s">
        <v>100</v>
      </c>
      <c r="C24" s="4" t="s">
        <v>105</v>
      </c>
      <c r="D24" s="4" t="s">
        <v>106</v>
      </c>
      <c r="E24" s="4" t="s">
        <v>107</v>
      </c>
      <c r="F24" s="4"/>
      <c r="G24" s="5" t="s">
        <v>16</v>
      </c>
      <c r="H24" s="5"/>
      <c r="I24" s="6"/>
      <c r="J24" s="3" t="s">
        <v>17</v>
      </c>
    </row>
    <row r="25" spans="1:10" ht="34.049999999999997" customHeight="1" x14ac:dyDescent="0.3">
      <c r="A25" s="3" t="s">
        <v>108</v>
      </c>
      <c r="B25" s="4" t="s">
        <v>100</v>
      </c>
      <c r="C25" s="4" t="s">
        <v>109</v>
      </c>
      <c r="D25" s="4" t="s">
        <v>110</v>
      </c>
      <c r="E25" s="4" t="s">
        <v>111</v>
      </c>
      <c r="F25" s="4"/>
      <c r="G25" s="5" t="s">
        <v>16</v>
      </c>
      <c r="H25" s="5"/>
      <c r="I25" s="6"/>
      <c r="J25" s="3" t="s">
        <v>47</v>
      </c>
    </row>
    <row r="26" spans="1:10" ht="34.049999999999997" customHeight="1" x14ac:dyDescent="0.3">
      <c r="A26" s="3" t="s">
        <v>112</v>
      </c>
      <c r="B26" s="4" t="s">
        <v>100</v>
      </c>
      <c r="C26" s="4" t="s">
        <v>113</v>
      </c>
      <c r="D26" s="4" t="s">
        <v>114</v>
      </c>
      <c r="E26" s="4" t="s">
        <v>115</v>
      </c>
      <c r="F26" s="4"/>
      <c r="G26" s="5" t="s">
        <v>16</v>
      </c>
      <c r="H26" s="5"/>
      <c r="I26" s="6"/>
      <c r="J26" s="3" t="s">
        <v>22</v>
      </c>
    </row>
    <row r="27" spans="1:10" ht="48" customHeight="1" x14ac:dyDescent="0.3">
      <c r="A27" s="3" t="s">
        <v>116</v>
      </c>
      <c r="B27" s="4" t="s">
        <v>100</v>
      </c>
      <c r="C27" s="4" t="s">
        <v>117</v>
      </c>
      <c r="D27" s="4" t="s">
        <v>118</v>
      </c>
      <c r="E27" s="4" t="s">
        <v>119</v>
      </c>
      <c r="F27" s="4"/>
      <c r="G27" s="5" t="s">
        <v>16</v>
      </c>
      <c r="H27" s="5"/>
      <c r="I27" s="6"/>
      <c r="J27" s="3" t="s">
        <v>17</v>
      </c>
    </row>
    <row r="28" spans="1:10" ht="48" customHeight="1" x14ac:dyDescent="0.3">
      <c r="A28" s="3" t="s">
        <v>120</v>
      </c>
      <c r="B28" s="4" t="s">
        <v>100</v>
      </c>
      <c r="C28" s="4" t="s">
        <v>121</v>
      </c>
      <c r="D28" s="4" t="s">
        <v>122</v>
      </c>
      <c r="E28" s="4" t="s">
        <v>123</v>
      </c>
      <c r="F28" s="4"/>
      <c r="G28" s="5" t="s">
        <v>16</v>
      </c>
      <c r="H28" s="5"/>
      <c r="I28" s="6"/>
      <c r="J28" s="3" t="s">
        <v>22</v>
      </c>
    </row>
    <row r="29" spans="1:10" ht="48" customHeight="1" x14ac:dyDescent="0.3">
      <c r="A29" s="3" t="s">
        <v>124</v>
      </c>
      <c r="B29" s="4" t="s">
        <v>100</v>
      </c>
      <c r="C29" s="4" t="s">
        <v>125</v>
      </c>
      <c r="D29" s="4" t="s">
        <v>126</v>
      </c>
      <c r="E29" s="4" t="s">
        <v>127</v>
      </c>
      <c r="F29" s="4"/>
      <c r="G29" s="5" t="s">
        <v>16</v>
      </c>
      <c r="H29" s="5"/>
      <c r="I29" s="6"/>
      <c r="J29" s="3" t="s">
        <v>17</v>
      </c>
    </row>
    <row r="30" spans="1:10" ht="34.049999999999997" customHeight="1" x14ac:dyDescent="0.3">
      <c r="A30" s="3" t="s">
        <v>128</v>
      </c>
      <c r="B30" s="4" t="s">
        <v>100</v>
      </c>
      <c r="C30" s="4" t="s">
        <v>129</v>
      </c>
      <c r="D30" s="4" t="s">
        <v>130</v>
      </c>
      <c r="E30" s="4" t="s">
        <v>131</v>
      </c>
      <c r="F30" s="4"/>
      <c r="G30" s="5" t="s">
        <v>16</v>
      </c>
      <c r="H30" s="5"/>
      <c r="I30" s="6"/>
      <c r="J30" s="3" t="s">
        <v>47</v>
      </c>
    </row>
    <row r="31" spans="1:10" ht="48" customHeight="1" x14ac:dyDescent="0.3">
      <c r="A31" s="3" t="s">
        <v>132</v>
      </c>
      <c r="B31" s="4" t="s">
        <v>100</v>
      </c>
      <c r="C31" s="4" t="s">
        <v>133</v>
      </c>
      <c r="D31" s="4" t="s">
        <v>134</v>
      </c>
      <c r="E31" s="4" t="s">
        <v>135</v>
      </c>
      <c r="F31" s="4"/>
      <c r="G31" s="5" t="s">
        <v>16</v>
      </c>
      <c r="H31" s="5"/>
      <c r="I31" s="6"/>
      <c r="J31" s="3" t="s">
        <v>22</v>
      </c>
    </row>
    <row r="32" spans="1:10" ht="34.049999999999997" customHeight="1" x14ac:dyDescent="0.3">
      <c r="A32" s="3" t="s">
        <v>136</v>
      </c>
      <c r="B32" s="4" t="s">
        <v>100</v>
      </c>
      <c r="C32" s="4" t="s">
        <v>137</v>
      </c>
      <c r="D32" s="4" t="s">
        <v>138</v>
      </c>
      <c r="E32" s="4" t="s">
        <v>139</v>
      </c>
      <c r="F32" s="4"/>
      <c r="G32" s="5" t="s">
        <v>16</v>
      </c>
      <c r="H32" s="5"/>
      <c r="I32" s="6"/>
      <c r="J32" s="3" t="s">
        <v>47</v>
      </c>
    </row>
    <row r="33" spans="1:10" ht="34.049999999999997" customHeight="1" x14ac:dyDescent="0.3">
      <c r="A33" s="3" t="s">
        <v>140</v>
      </c>
      <c r="B33" s="4" t="s">
        <v>100</v>
      </c>
      <c r="C33" s="4" t="s">
        <v>141</v>
      </c>
      <c r="D33" s="4" t="s">
        <v>142</v>
      </c>
      <c r="E33" s="4" t="s">
        <v>143</v>
      </c>
      <c r="F33" s="4"/>
      <c r="G33" s="5" t="s">
        <v>16</v>
      </c>
      <c r="H33" s="5"/>
      <c r="I33" s="6"/>
      <c r="J33" s="3" t="s">
        <v>22</v>
      </c>
    </row>
    <row r="34" spans="1:10" ht="34.049999999999997" customHeight="1" x14ac:dyDescent="0.3">
      <c r="A34" s="3" t="s">
        <v>144</v>
      </c>
      <c r="B34" s="4" t="s">
        <v>100</v>
      </c>
      <c r="C34" s="4" t="s">
        <v>145</v>
      </c>
      <c r="D34" s="4" t="s">
        <v>146</v>
      </c>
      <c r="E34" s="4" t="s">
        <v>147</v>
      </c>
      <c r="F34" s="4"/>
      <c r="G34" s="5" t="s">
        <v>16</v>
      </c>
      <c r="H34" s="5"/>
      <c r="I34" s="6"/>
      <c r="J34" s="3" t="s">
        <v>22</v>
      </c>
    </row>
    <row r="35" spans="1:10" ht="34.049999999999997" customHeight="1" x14ac:dyDescent="0.3">
      <c r="A35" s="3" t="s">
        <v>148</v>
      </c>
      <c r="B35" s="4" t="s">
        <v>100</v>
      </c>
      <c r="C35" s="4" t="s">
        <v>149</v>
      </c>
      <c r="D35" s="4" t="s">
        <v>150</v>
      </c>
      <c r="E35" s="4" t="s">
        <v>151</v>
      </c>
      <c r="F35" s="4"/>
      <c r="G35" s="5" t="s">
        <v>16</v>
      </c>
      <c r="H35" s="5"/>
      <c r="I35" s="6"/>
      <c r="J35" s="3" t="s">
        <v>47</v>
      </c>
    </row>
    <row r="36" spans="1:10" ht="48" customHeight="1" x14ac:dyDescent="0.3">
      <c r="A36" s="3" t="s">
        <v>152</v>
      </c>
      <c r="B36" s="4" t="s">
        <v>153</v>
      </c>
      <c r="C36" s="4" t="s">
        <v>154</v>
      </c>
      <c r="D36" s="4" t="s">
        <v>155</v>
      </c>
      <c r="E36" s="4" t="s">
        <v>156</v>
      </c>
      <c r="F36" s="4"/>
      <c r="G36" s="5" t="s">
        <v>16</v>
      </c>
      <c r="H36" s="5"/>
      <c r="I36" s="6"/>
      <c r="J36" s="3" t="s">
        <v>17</v>
      </c>
    </row>
    <row r="37" spans="1:10" ht="34.049999999999997" customHeight="1" x14ac:dyDescent="0.3">
      <c r="A37" s="3" t="s">
        <v>157</v>
      </c>
      <c r="B37" s="4" t="s">
        <v>153</v>
      </c>
      <c r="C37" s="4" t="s">
        <v>158</v>
      </c>
      <c r="D37" s="4" t="s">
        <v>159</v>
      </c>
      <c r="E37" s="4" t="s">
        <v>160</v>
      </c>
      <c r="F37" s="4"/>
      <c r="G37" s="5" t="s">
        <v>16</v>
      </c>
      <c r="H37" s="5"/>
      <c r="I37" s="6"/>
      <c r="J37" s="3" t="s">
        <v>22</v>
      </c>
    </row>
    <row r="38" spans="1:10" ht="34.049999999999997" customHeight="1" x14ac:dyDescent="0.3">
      <c r="A38" s="3" t="s">
        <v>161</v>
      </c>
      <c r="B38" s="4" t="s">
        <v>153</v>
      </c>
      <c r="C38" s="4" t="s">
        <v>162</v>
      </c>
      <c r="D38" s="4" t="s">
        <v>163</v>
      </c>
      <c r="E38" s="4" t="s">
        <v>164</v>
      </c>
      <c r="F38" s="4"/>
      <c r="G38" s="5" t="s">
        <v>16</v>
      </c>
      <c r="H38" s="5"/>
      <c r="I38" s="6"/>
      <c r="J38" s="3" t="s">
        <v>47</v>
      </c>
    </row>
    <row r="39" spans="1:10" ht="34.049999999999997" customHeight="1" x14ac:dyDescent="0.3">
      <c r="A39" s="3" t="s">
        <v>165</v>
      </c>
      <c r="B39" s="4" t="s">
        <v>153</v>
      </c>
      <c r="C39" s="4" t="s">
        <v>166</v>
      </c>
      <c r="D39" s="4" t="s">
        <v>167</v>
      </c>
      <c r="E39" s="4" t="s">
        <v>168</v>
      </c>
      <c r="F39" s="4"/>
      <c r="G39" s="5" t="s">
        <v>16</v>
      </c>
      <c r="H39" s="5"/>
      <c r="I39" s="6"/>
      <c r="J39" s="3" t="s">
        <v>17</v>
      </c>
    </row>
    <row r="40" spans="1:10" ht="48" customHeight="1" x14ac:dyDescent="0.3">
      <c r="A40" s="3" t="s">
        <v>169</v>
      </c>
      <c r="B40" s="4" t="s">
        <v>170</v>
      </c>
      <c r="C40" s="4" t="s">
        <v>171</v>
      </c>
      <c r="D40" s="4" t="s">
        <v>172</v>
      </c>
      <c r="E40" s="4" t="s">
        <v>173</v>
      </c>
      <c r="F40" s="4"/>
      <c r="G40" s="5" t="s">
        <v>16</v>
      </c>
      <c r="H40" s="5"/>
      <c r="I40" s="6"/>
      <c r="J40" s="3" t="s">
        <v>22</v>
      </c>
    </row>
    <row r="41" spans="1:10" ht="34.049999999999997" customHeight="1" x14ac:dyDescent="0.3">
      <c r="A41" s="3" t="s">
        <v>174</v>
      </c>
      <c r="B41" s="4" t="s">
        <v>170</v>
      </c>
      <c r="C41" s="4" t="s">
        <v>175</v>
      </c>
      <c r="D41" s="4" t="s">
        <v>176</v>
      </c>
      <c r="E41" s="4" t="s">
        <v>177</v>
      </c>
      <c r="F41" s="4"/>
      <c r="G41" s="5" t="s">
        <v>16</v>
      </c>
      <c r="H41" s="5"/>
      <c r="I41" s="6"/>
      <c r="J41" s="3" t="s">
        <v>22</v>
      </c>
    </row>
    <row r="42" spans="1:10" ht="34.049999999999997" customHeight="1" x14ac:dyDescent="0.3">
      <c r="A42" s="3" t="s">
        <v>178</v>
      </c>
      <c r="B42" s="4" t="s">
        <v>170</v>
      </c>
      <c r="C42" s="4" t="s">
        <v>179</v>
      </c>
      <c r="D42" s="4" t="s">
        <v>180</v>
      </c>
      <c r="E42" s="4" t="s">
        <v>181</v>
      </c>
      <c r="F42" s="4"/>
      <c r="G42" s="5" t="s">
        <v>16</v>
      </c>
      <c r="H42" s="5"/>
      <c r="I42" s="6"/>
      <c r="J42" s="3" t="s">
        <v>47</v>
      </c>
    </row>
    <row r="43" spans="1:10" ht="48" customHeight="1" x14ac:dyDescent="0.3">
      <c r="A43" s="3" t="s">
        <v>182</v>
      </c>
      <c r="B43" s="4" t="s">
        <v>170</v>
      </c>
      <c r="C43" s="4" t="s">
        <v>183</v>
      </c>
      <c r="D43" s="4" t="s">
        <v>184</v>
      </c>
      <c r="E43" s="4" t="s">
        <v>185</v>
      </c>
      <c r="F43" s="4"/>
      <c r="G43" s="5" t="s">
        <v>16</v>
      </c>
      <c r="H43" s="5"/>
      <c r="I43" s="6"/>
      <c r="J43" s="3" t="s">
        <v>17</v>
      </c>
    </row>
    <row r="44" spans="1:10" ht="34.049999999999997" customHeight="1" x14ac:dyDescent="0.3">
      <c r="A44" s="3" t="s">
        <v>186</v>
      </c>
      <c r="B44" s="4" t="s">
        <v>170</v>
      </c>
      <c r="C44" s="4" t="s">
        <v>187</v>
      </c>
      <c r="D44" s="4" t="s">
        <v>188</v>
      </c>
      <c r="E44" s="4" t="s">
        <v>189</v>
      </c>
      <c r="F44" s="4"/>
      <c r="G44" s="5" t="s">
        <v>16</v>
      </c>
      <c r="H44" s="5"/>
      <c r="I44" s="6"/>
      <c r="J44" s="3" t="s">
        <v>22</v>
      </c>
    </row>
    <row r="45" spans="1:10" ht="34.049999999999997" customHeight="1" x14ac:dyDescent="0.3">
      <c r="A45" s="3" t="s">
        <v>190</v>
      </c>
      <c r="B45" s="4" t="s">
        <v>191</v>
      </c>
      <c r="C45" s="4" t="s">
        <v>192</v>
      </c>
      <c r="D45" s="4" t="s">
        <v>193</v>
      </c>
      <c r="E45" s="4" t="s">
        <v>194</v>
      </c>
      <c r="F45" s="4"/>
      <c r="G45" s="5" t="s">
        <v>16</v>
      </c>
      <c r="H45" s="5"/>
      <c r="I45" s="6"/>
      <c r="J45" s="3" t="s">
        <v>17</v>
      </c>
    </row>
    <row r="46" spans="1:10" ht="34.049999999999997" customHeight="1" x14ac:dyDescent="0.3">
      <c r="A46" s="3" t="s">
        <v>195</v>
      </c>
      <c r="B46" s="4" t="s">
        <v>191</v>
      </c>
      <c r="C46" s="4" t="s">
        <v>196</v>
      </c>
      <c r="D46" s="4" t="s">
        <v>197</v>
      </c>
      <c r="E46" s="4" t="s">
        <v>198</v>
      </c>
      <c r="F46" s="4"/>
      <c r="G46" s="5" t="s">
        <v>16</v>
      </c>
      <c r="H46" s="5"/>
      <c r="I46" s="6"/>
      <c r="J46" s="3" t="s">
        <v>22</v>
      </c>
    </row>
    <row r="47" spans="1:10" ht="34.049999999999997" customHeight="1" x14ac:dyDescent="0.3">
      <c r="A47" s="3" t="s">
        <v>199</v>
      </c>
      <c r="B47" s="4" t="s">
        <v>191</v>
      </c>
      <c r="C47" s="4" t="s">
        <v>200</v>
      </c>
      <c r="D47" s="4" t="s">
        <v>201</v>
      </c>
      <c r="E47" s="4" t="s">
        <v>202</v>
      </c>
      <c r="F47" s="4"/>
      <c r="G47" s="5" t="s">
        <v>16</v>
      </c>
      <c r="H47" s="5"/>
      <c r="I47" s="6"/>
      <c r="J47" s="3" t="s">
        <v>22</v>
      </c>
    </row>
    <row r="48" spans="1:10" ht="34.049999999999997" customHeight="1" x14ac:dyDescent="0.3">
      <c r="A48" s="3" t="s">
        <v>203</v>
      </c>
      <c r="B48" s="4" t="s">
        <v>191</v>
      </c>
      <c r="C48" s="4" t="s">
        <v>204</v>
      </c>
      <c r="D48" s="4" t="s">
        <v>205</v>
      </c>
      <c r="E48" s="4" t="s">
        <v>206</v>
      </c>
      <c r="F48" s="4"/>
      <c r="G48" s="5" t="s">
        <v>16</v>
      </c>
      <c r="H48" s="5"/>
      <c r="I48" s="6"/>
      <c r="J48" s="3" t="s">
        <v>22</v>
      </c>
    </row>
    <row r="49" spans="1:10" ht="34.049999999999997" customHeight="1" x14ac:dyDescent="0.3">
      <c r="A49" s="3" t="s">
        <v>207</v>
      </c>
      <c r="B49" s="4" t="s">
        <v>191</v>
      </c>
      <c r="C49" s="4" t="s">
        <v>208</v>
      </c>
      <c r="D49" s="4" t="s">
        <v>209</v>
      </c>
      <c r="E49" s="4" t="s">
        <v>210</v>
      </c>
      <c r="F49" s="4"/>
      <c r="G49" s="5" t="s">
        <v>16</v>
      </c>
      <c r="H49" s="5"/>
      <c r="I49" s="6"/>
      <c r="J49" s="3" t="s">
        <v>22</v>
      </c>
    </row>
    <row r="50" spans="1:10" ht="34.049999999999997" customHeight="1" x14ac:dyDescent="0.3">
      <c r="A50" s="3" t="s">
        <v>211</v>
      </c>
      <c r="B50" s="4" t="s">
        <v>191</v>
      </c>
      <c r="C50" s="4" t="s">
        <v>212</v>
      </c>
      <c r="D50" s="4" t="s">
        <v>213</v>
      </c>
      <c r="E50" s="4" t="s">
        <v>214</v>
      </c>
      <c r="F50" s="4"/>
      <c r="G50" s="5" t="s">
        <v>16</v>
      </c>
      <c r="H50" s="5"/>
      <c r="I50" s="6"/>
      <c r="J50" s="3" t="s">
        <v>22</v>
      </c>
    </row>
    <row r="51" spans="1:10" ht="48" customHeight="1" x14ac:dyDescent="0.3">
      <c r="A51" s="3" t="s">
        <v>215</v>
      </c>
      <c r="B51" s="4" t="s">
        <v>191</v>
      </c>
      <c r="C51" s="4" t="s">
        <v>216</v>
      </c>
      <c r="D51" s="4" t="s">
        <v>217</v>
      </c>
      <c r="E51" s="4" t="s">
        <v>218</v>
      </c>
      <c r="F51" s="4"/>
      <c r="G51" s="5" t="s">
        <v>16</v>
      </c>
      <c r="H51" s="5"/>
      <c r="I51" s="6"/>
      <c r="J51" s="3" t="s">
        <v>17</v>
      </c>
    </row>
    <row r="52" spans="1:10" ht="34.049999999999997" customHeight="1" x14ac:dyDescent="0.3">
      <c r="A52" s="3" t="s">
        <v>219</v>
      </c>
      <c r="B52" s="4" t="s">
        <v>191</v>
      </c>
      <c r="C52" s="4" t="s">
        <v>220</v>
      </c>
      <c r="D52" s="4" t="s">
        <v>221</v>
      </c>
      <c r="E52" s="4" t="s">
        <v>222</v>
      </c>
      <c r="F52" s="4"/>
      <c r="G52" s="5" t="s">
        <v>16</v>
      </c>
      <c r="H52" s="5"/>
      <c r="I52" s="6"/>
      <c r="J52" s="3" t="s">
        <v>22</v>
      </c>
    </row>
    <row r="53" spans="1:10" ht="48" customHeight="1" x14ac:dyDescent="0.3">
      <c r="A53" s="3" t="s">
        <v>223</v>
      </c>
      <c r="B53" s="4" t="s">
        <v>191</v>
      </c>
      <c r="C53" s="4" t="s">
        <v>224</v>
      </c>
      <c r="D53" s="4" t="s">
        <v>225</v>
      </c>
      <c r="E53" s="4" t="s">
        <v>226</v>
      </c>
      <c r="F53" s="4"/>
      <c r="G53" s="5" t="s">
        <v>16</v>
      </c>
      <c r="H53" s="5"/>
      <c r="I53" s="6"/>
      <c r="J53" s="3" t="s">
        <v>22</v>
      </c>
    </row>
    <row r="54" spans="1:10" ht="34.049999999999997" customHeight="1" x14ac:dyDescent="0.3">
      <c r="A54" s="3" t="s">
        <v>227</v>
      </c>
      <c r="B54" s="4" t="s">
        <v>191</v>
      </c>
      <c r="C54" s="4" t="s">
        <v>228</v>
      </c>
      <c r="D54" s="4" t="s">
        <v>229</v>
      </c>
      <c r="E54" s="4" t="s">
        <v>230</v>
      </c>
      <c r="F54" s="4"/>
      <c r="G54" s="5" t="s">
        <v>16</v>
      </c>
      <c r="H54" s="5"/>
      <c r="I54" s="6"/>
      <c r="J54" s="3" t="s">
        <v>47</v>
      </c>
    </row>
    <row r="55" spans="1:10" ht="34.049999999999997" customHeight="1" x14ac:dyDescent="0.3">
      <c r="A55" s="3" t="s">
        <v>231</v>
      </c>
      <c r="B55" s="4" t="s">
        <v>191</v>
      </c>
      <c r="C55" s="4" t="s">
        <v>232</v>
      </c>
      <c r="D55" s="4" t="s">
        <v>233</v>
      </c>
      <c r="E55" s="4" t="s">
        <v>234</v>
      </c>
      <c r="F55" s="4"/>
      <c r="G55" s="5" t="s">
        <v>16</v>
      </c>
      <c r="H55" s="5"/>
      <c r="I55" s="6"/>
      <c r="J55" s="3" t="s">
        <v>47</v>
      </c>
    </row>
    <row r="56" spans="1:10" ht="34.049999999999997" customHeight="1" x14ac:dyDescent="0.3">
      <c r="A56" s="3" t="s">
        <v>235</v>
      </c>
      <c r="B56" s="4" t="s">
        <v>191</v>
      </c>
      <c r="C56" s="4" t="s">
        <v>236</v>
      </c>
      <c r="D56" s="4" t="s">
        <v>237</v>
      </c>
      <c r="E56" s="4" t="s">
        <v>238</v>
      </c>
      <c r="F56" s="4"/>
      <c r="G56" s="5" t="s">
        <v>16</v>
      </c>
      <c r="H56" s="5"/>
      <c r="I56" s="6"/>
      <c r="J56" s="3" t="s">
        <v>22</v>
      </c>
    </row>
    <row r="57" spans="1:10" ht="48" customHeight="1" x14ac:dyDescent="0.3">
      <c r="A57" s="3" t="s">
        <v>239</v>
      </c>
      <c r="B57" s="4" t="s">
        <v>191</v>
      </c>
      <c r="C57" s="4" t="s">
        <v>240</v>
      </c>
      <c r="D57" s="4" t="s">
        <v>241</v>
      </c>
      <c r="E57" s="4" t="s">
        <v>242</v>
      </c>
      <c r="F57" s="4"/>
      <c r="G57" s="5" t="s">
        <v>16</v>
      </c>
      <c r="H57" s="5"/>
      <c r="I57" s="6"/>
      <c r="J57" s="3" t="s">
        <v>22</v>
      </c>
    </row>
    <row r="58" spans="1:10" ht="34.049999999999997" customHeight="1" x14ac:dyDescent="0.3">
      <c r="A58" s="3" t="s">
        <v>243</v>
      </c>
      <c r="B58" s="4" t="s">
        <v>191</v>
      </c>
      <c r="C58" s="4" t="s">
        <v>244</v>
      </c>
      <c r="D58" s="4" t="s">
        <v>245</v>
      </c>
      <c r="E58" s="4" t="s">
        <v>246</v>
      </c>
      <c r="F58" s="4"/>
      <c r="G58" s="5" t="s">
        <v>16</v>
      </c>
      <c r="H58" s="5"/>
      <c r="I58" s="6"/>
      <c r="J58" s="3" t="s">
        <v>47</v>
      </c>
    </row>
    <row r="59" spans="1:10" ht="61.95" customHeight="1" x14ac:dyDescent="0.3">
      <c r="A59" s="3" t="s">
        <v>247</v>
      </c>
      <c r="B59" s="4" t="s">
        <v>248</v>
      </c>
      <c r="C59" s="4" t="s">
        <v>249</v>
      </c>
      <c r="D59" s="4" t="s">
        <v>250</v>
      </c>
      <c r="E59" s="4" t="s">
        <v>251</v>
      </c>
      <c r="F59" s="4"/>
      <c r="G59" s="5" t="s">
        <v>16</v>
      </c>
      <c r="H59" s="5"/>
      <c r="I59" s="6"/>
      <c r="J59" s="3" t="s">
        <v>17</v>
      </c>
    </row>
    <row r="60" spans="1:10" ht="48" customHeight="1" x14ac:dyDescent="0.3">
      <c r="A60" s="3" t="s">
        <v>252</v>
      </c>
      <c r="B60" s="4" t="s">
        <v>248</v>
      </c>
      <c r="C60" s="4" t="s">
        <v>253</v>
      </c>
      <c r="D60" s="4" t="s">
        <v>254</v>
      </c>
      <c r="E60" s="4" t="s">
        <v>255</v>
      </c>
      <c r="F60" s="4"/>
      <c r="G60" s="5" t="s">
        <v>16</v>
      </c>
      <c r="H60" s="5"/>
      <c r="I60" s="6"/>
      <c r="J60" s="3" t="s">
        <v>17</v>
      </c>
    </row>
    <row r="61" spans="1:10" ht="34.049999999999997" customHeight="1" x14ac:dyDescent="0.3">
      <c r="A61" s="3" t="s">
        <v>256</v>
      </c>
      <c r="B61" s="4" t="s">
        <v>248</v>
      </c>
      <c r="C61" s="4" t="s">
        <v>257</v>
      </c>
      <c r="D61" s="4" t="s">
        <v>258</v>
      </c>
      <c r="E61" s="4" t="s">
        <v>259</v>
      </c>
      <c r="F61" s="4"/>
      <c r="G61" s="5" t="s">
        <v>16</v>
      </c>
      <c r="H61" s="5"/>
      <c r="I61" s="6"/>
      <c r="J61" s="3" t="s">
        <v>22</v>
      </c>
    </row>
    <row r="62" spans="1:10" ht="48" customHeight="1" x14ac:dyDescent="0.3">
      <c r="A62" s="3" t="s">
        <v>260</v>
      </c>
      <c r="B62" s="4" t="s">
        <v>248</v>
      </c>
      <c r="C62" s="4" t="s">
        <v>261</v>
      </c>
      <c r="D62" s="4" t="s">
        <v>262</v>
      </c>
      <c r="E62" s="4" t="s">
        <v>263</v>
      </c>
      <c r="F62" s="4"/>
      <c r="G62" s="5" t="s">
        <v>16</v>
      </c>
      <c r="H62" s="5"/>
      <c r="I62" s="6"/>
      <c r="J62" s="3" t="s">
        <v>17</v>
      </c>
    </row>
    <row r="63" spans="1:10" ht="34.049999999999997" customHeight="1" x14ac:dyDescent="0.3">
      <c r="A63" s="3" t="s">
        <v>264</v>
      </c>
      <c r="B63" s="4" t="s">
        <v>248</v>
      </c>
      <c r="C63" s="4" t="s">
        <v>265</v>
      </c>
      <c r="D63" s="4" t="s">
        <v>266</v>
      </c>
      <c r="E63" s="4" t="s">
        <v>267</v>
      </c>
      <c r="F63" s="4"/>
      <c r="G63" s="5" t="s">
        <v>16</v>
      </c>
      <c r="H63" s="5"/>
      <c r="I63" s="6"/>
      <c r="J63" s="3" t="s">
        <v>22</v>
      </c>
    </row>
    <row r="64" spans="1:10" ht="34.049999999999997" customHeight="1" x14ac:dyDescent="0.3">
      <c r="A64" s="3" t="s">
        <v>268</v>
      </c>
      <c r="B64" s="4" t="s">
        <v>248</v>
      </c>
      <c r="C64" s="4" t="s">
        <v>269</v>
      </c>
      <c r="D64" s="4" t="s">
        <v>270</v>
      </c>
      <c r="E64" s="4" t="s">
        <v>271</v>
      </c>
      <c r="F64" s="4"/>
      <c r="G64" s="5" t="s">
        <v>16</v>
      </c>
      <c r="H64" s="5"/>
      <c r="I64" s="6"/>
      <c r="J64" s="3" t="s">
        <v>22</v>
      </c>
    </row>
    <row r="65" spans="1:10" ht="34.049999999999997" customHeight="1" x14ac:dyDescent="0.3">
      <c r="A65" s="3" t="s">
        <v>272</v>
      </c>
      <c r="B65" s="4" t="s">
        <v>248</v>
      </c>
      <c r="C65" s="4" t="s">
        <v>273</v>
      </c>
      <c r="D65" s="4" t="s">
        <v>274</v>
      </c>
      <c r="E65" s="4" t="s">
        <v>275</v>
      </c>
      <c r="F65" s="4"/>
      <c r="G65" s="5" t="s">
        <v>16</v>
      </c>
      <c r="H65" s="5"/>
      <c r="I65" s="6"/>
      <c r="J65" s="3" t="s">
        <v>22</v>
      </c>
    </row>
    <row r="66" spans="1:10" ht="34.049999999999997" customHeight="1" x14ac:dyDescent="0.3">
      <c r="A66" s="3" t="s">
        <v>276</v>
      </c>
      <c r="B66" s="4" t="s">
        <v>248</v>
      </c>
      <c r="C66" s="4" t="s">
        <v>277</v>
      </c>
      <c r="D66" s="4" t="s">
        <v>278</v>
      </c>
      <c r="E66" s="4" t="s">
        <v>279</v>
      </c>
      <c r="F66" s="4"/>
      <c r="G66" s="5" t="s">
        <v>16</v>
      </c>
      <c r="H66" s="5"/>
      <c r="I66" s="6"/>
      <c r="J66" s="3" t="s">
        <v>22</v>
      </c>
    </row>
    <row r="67" spans="1:10" ht="34.049999999999997" customHeight="1" x14ac:dyDescent="0.3">
      <c r="A67" s="3" t="s">
        <v>280</v>
      </c>
      <c r="B67" s="4" t="s">
        <v>248</v>
      </c>
      <c r="C67" s="4" t="s">
        <v>281</v>
      </c>
      <c r="D67" s="4" t="s">
        <v>282</v>
      </c>
      <c r="E67" s="4" t="s">
        <v>283</v>
      </c>
      <c r="F67" s="4"/>
      <c r="G67" s="5" t="s">
        <v>16</v>
      </c>
      <c r="H67" s="5"/>
      <c r="I67" s="6"/>
      <c r="J67" s="3" t="s">
        <v>22</v>
      </c>
    </row>
    <row r="68" spans="1:10" ht="34.049999999999997" customHeight="1" x14ac:dyDescent="0.3">
      <c r="A68" s="3" t="s">
        <v>284</v>
      </c>
      <c r="B68" s="4" t="s">
        <v>248</v>
      </c>
      <c r="C68" s="4" t="s">
        <v>285</v>
      </c>
      <c r="D68" s="4" t="s">
        <v>286</v>
      </c>
      <c r="E68" s="4" t="s">
        <v>287</v>
      </c>
      <c r="F68" s="4"/>
      <c r="G68" s="5" t="s">
        <v>16</v>
      </c>
      <c r="H68" s="5"/>
      <c r="I68" s="6"/>
      <c r="J68" s="3" t="s">
        <v>22</v>
      </c>
    </row>
    <row r="69" spans="1:10" ht="48" customHeight="1" x14ac:dyDescent="0.3">
      <c r="A69" s="3" t="s">
        <v>288</v>
      </c>
      <c r="B69" s="4" t="s">
        <v>248</v>
      </c>
      <c r="C69" s="4" t="s">
        <v>289</v>
      </c>
      <c r="D69" s="4" t="s">
        <v>290</v>
      </c>
      <c r="E69" s="4" t="s">
        <v>291</v>
      </c>
      <c r="F69" s="4"/>
      <c r="G69" s="5" t="s">
        <v>16</v>
      </c>
      <c r="H69" s="5"/>
      <c r="I69" s="6"/>
      <c r="J69" s="3" t="s">
        <v>22</v>
      </c>
    </row>
    <row r="70" spans="1:10" ht="34.049999999999997" customHeight="1" x14ac:dyDescent="0.3">
      <c r="A70" s="3" t="s">
        <v>292</v>
      </c>
      <c r="B70" s="4" t="s">
        <v>248</v>
      </c>
      <c r="C70" s="4" t="s">
        <v>293</v>
      </c>
      <c r="D70" s="4" t="s">
        <v>294</v>
      </c>
      <c r="E70" s="4" t="s">
        <v>295</v>
      </c>
      <c r="F70" s="4"/>
      <c r="G70" s="5" t="s">
        <v>16</v>
      </c>
      <c r="H70" s="5"/>
      <c r="I70" s="6"/>
      <c r="J70" s="3" t="s">
        <v>47</v>
      </c>
    </row>
    <row r="71" spans="1:10" ht="34.049999999999997" customHeight="1" x14ac:dyDescent="0.3">
      <c r="A71" s="3" t="s">
        <v>296</v>
      </c>
      <c r="B71" s="4" t="s">
        <v>248</v>
      </c>
      <c r="C71" s="4" t="s">
        <v>297</v>
      </c>
      <c r="D71" s="4" t="s">
        <v>298</v>
      </c>
      <c r="E71" s="4" t="s">
        <v>299</v>
      </c>
      <c r="F71" s="4"/>
      <c r="G71" s="5" t="s">
        <v>16</v>
      </c>
      <c r="H71" s="5"/>
      <c r="I71" s="6"/>
      <c r="J71" s="3" t="s">
        <v>47</v>
      </c>
    </row>
    <row r="72" spans="1:10" ht="34.049999999999997" customHeight="1" x14ac:dyDescent="0.3">
      <c r="A72" s="3" t="s">
        <v>300</v>
      </c>
      <c r="B72" s="4" t="s">
        <v>301</v>
      </c>
      <c r="C72" s="4" t="s">
        <v>302</v>
      </c>
      <c r="D72" s="4" t="s">
        <v>303</v>
      </c>
      <c r="E72" s="4" t="s">
        <v>304</v>
      </c>
      <c r="F72" s="4"/>
      <c r="G72" s="5" t="s">
        <v>16</v>
      </c>
      <c r="H72" s="5"/>
      <c r="I72" s="6"/>
      <c r="J72" s="3" t="s">
        <v>17</v>
      </c>
    </row>
    <row r="73" spans="1:10" ht="34.049999999999997" customHeight="1" x14ac:dyDescent="0.3">
      <c r="A73" s="3" t="s">
        <v>305</v>
      </c>
      <c r="B73" s="4" t="s">
        <v>301</v>
      </c>
      <c r="C73" s="4" t="s">
        <v>306</v>
      </c>
      <c r="D73" s="4" t="s">
        <v>307</v>
      </c>
      <c r="E73" s="4" t="s">
        <v>308</v>
      </c>
      <c r="F73" s="4"/>
      <c r="G73" s="5" t="s">
        <v>16</v>
      </c>
      <c r="H73" s="5"/>
      <c r="I73" s="6"/>
      <c r="J73" s="3" t="s">
        <v>22</v>
      </c>
    </row>
    <row r="74" spans="1:10" ht="34.049999999999997" customHeight="1" x14ac:dyDescent="0.3">
      <c r="A74" s="3" t="s">
        <v>309</v>
      </c>
      <c r="B74" s="4" t="s">
        <v>301</v>
      </c>
      <c r="C74" s="4" t="s">
        <v>310</v>
      </c>
      <c r="D74" s="4" t="s">
        <v>311</v>
      </c>
      <c r="E74" s="4" t="s">
        <v>312</v>
      </c>
      <c r="F74" s="4"/>
      <c r="G74" s="5" t="s">
        <v>16</v>
      </c>
      <c r="H74" s="5"/>
      <c r="I74" s="6"/>
      <c r="J74" s="3" t="s">
        <v>22</v>
      </c>
    </row>
    <row r="75" spans="1:10" ht="34.049999999999997" customHeight="1" x14ac:dyDescent="0.3">
      <c r="A75" s="3" t="s">
        <v>313</v>
      </c>
      <c r="B75" s="4" t="s">
        <v>301</v>
      </c>
      <c r="C75" s="4" t="s">
        <v>314</v>
      </c>
      <c r="D75" s="4" t="s">
        <v>315</v>
      </c>
      <c r="E75" s="4" t="s">
        <v>316</v>
      </c>
      <c r="F75" s="4"/>
      <c r="G75" s="5" t="s">
        <v>16</v>
      </c>
      <c r="H75" s="5"/>
      <c r="I75" s="6"/>
      <c r="J75" s="3" t="s">
        <v>22</v>
      </c>
    </row>
    <row r="76" spans="1:10" ht="34.049999999999997" customHeight="1" x14ac:dyDescent="0.3">
      <c r="A76" s="3" t="s">
        <v>317</v>
      </c>
      <c r="B76" s="4" t="s">
        <v>301</v>
      </c>
      <c r="C76" s="4" t="s">
        <v>318</v>
      </c>
      <c r="D76" s="4" t="s">
        <v>319</v>
      </c>
      <c r="E76" s="4" t="s">
        <v>320</v>
      </c>
      <c r="F76" s="4"/>
      <c r="G76" s="5" t="s">
        <v>16</v>
      </c>
      <c r="H76" s="5"/>
      <c r="I76" s="6"/>
      <c r="J76" s="3" t="s">
        <v>17</v>
      </c>
    </row>
    <row r="77" spans="1:10" ht="34.049999999999997" customHeight="1" x14ac:dyDescent="0.3">
      <c r="A77" s="3" t="s">
        <v>321</v>
      </c>
      <c r="B77" s="4" t="s">
        <v>301</v>
      </c>
      <c r="C77" s="4" t="s">
        <v>322</v>
      </c>
      <c r="D77" s="4" t="s">
        <v>323</v>
      </c>
      <c r="E77" s="4" t="s">
        <v>324</v>
      </c>
      <c r="F77" s="4"/>
      <c r="G77" s="5" t="s">
        <v>16</v>
      </c>
      <c r="H77" s="5"/>
      <c r="I77" s="6"/>
      <c r="J77" s="3" t="s">
        <v>22</v>
      </c>
    </row>
    <row r="78" spans="1:10" ht="34.049999999999997" customHeight="1" x14ac:dyDescent="0.3">
      <c r="A78" s="3" t="s">
        <v>325</v>
      </c>
      <c r="B78" s="4" t="s">
        <v>301</v>
      </c>
      <c r="C78" s="4" t="s">
        <v>326</v>
      </c>
      <c r="D78" s="4" t="s">
        <v>327</v>
      </c>
      <c r="E78" s="4" t="s">
        <v>328</v>
      </c>
      <c r="F78" s="4"/>
      <c r="G78" s="5" t="s">
        <v>16</v>
      </c>
      <c r="H78" s="5"/>
      <c r="I78" s="6"/>
      <c r="J78" s="3" t="s">
        <v>17</v>
      </c>
    </row>
    <row r="79" spans="1:10" ht="34.049999999999997" customHeight="1" x14ac:dyDescent="0.3">
      <c r="A79" s="3" t="s">
        <v>329</v>
      </c>
      <c r="B79" s="4" t="s">
        <v>301</v>
      </c>
      <c r="C79" s="4" t="s">
        <v>330</v>
      </c>
      <c r="D79" s="4" t="s">
        <v>331</v>
      </c>
      <c r="E79" s="4" t="s">
        <v>332</v>
      </c>
      <c r="F79" s="4"/>
      <c r="G79" s="5" t="s">
        <v>16</v>
      </c>
      <c r="H79" s="5"/>
      <c r="I79" s="6"/>
      <c r="J79" s="3" t="s">
        <v>22</v>
      </c>
    </row>
    <row r="80" spans="1:10" ht="48" customHeight="1" x14ac:dyDescent="0.3">
      <c r="A80" s="3" t="s">
        <v>333</v>
      </c>
      <c r="B80" s="4" t="s">
        <v>301</v>
      </c>
      <c r="C80" s="4" t="s">
        <v>334</v>
      </c>
      <c r="D80" s="4" t="s">
        <v>335</v>
      </c>
      <c r="E80" s="4" t="s">
        <v>336</v>
      </c>
      <c r="F80" s="4"/>
      <c r="G80" s="5" t="s">
        <v>16</v>
      </c>
      <c r="H80" s="5"/>
      <c r="I80" s="6"/>
      <c r="J80" s="3" t="s">
        <v>17</v>
      </c>
    </row>
    <row r="81" spans="1:10" ht="34.049999999999997" customHeight="1" x14ac:dyDescent="0.3">
      <c r="A81" s="3" t="s">
        <v>337</v>
      </c>
      <c r="B81" s="4" t="s">
        <v>301</v>
      </c>
      <c r="C81" s="4" t="s">
        <v>338</v>
      </c>
      <c r="D81" s="4" t="s">
        <v>339</v>
      </c>
      <c r="E81" s="4" t="s">
        <v>340</v>
      </c>
      <c r="F81" s="4"/>
      <c r="G81" s="5" t="s">
        <v>16</v>
      </c>
      <c r="H81" s="5"/>
      <c r="I81" s="6"/>
      <c r="J81" s="3" t="s">
        <v>22</v>
      </c>
    </row>
    <row r="82" spans="1:10" ht="34.049999999999997" customHeight="1" x14ac:dyDescent="0.3">
      <c r="A82" s="3" t="s">
        <v>341</v>
      </c>
      <c r="B82" s="4" t="s">
        <v>301</v>
      </c>
      <c r="C82" s="4" t="s">
        <v>342</v>
      </c>
      <c r="D82" s="4" t="s">
        <v>343</v>
      </c>
      <c r="E82" s="4" t="s">
        <v>344</v>
      </c>
      <c r="F82" s="4"/>
      <c r="G82" s="5" t="s">
        <v>16</v>
      </c>
      <c r="H82" s="5"/>
      <c r="I82" s="6"/>
      <c r="J82" s="3" t="s">
        <v>47</v>
      </c>
    </row>
    <row r="83" spans="1:10" ht="34.049999999999997" customHeight="1" x14ac:dyDescent="0.3">
      <c r="A83" s="3" t="s">
        <v>345</v>
      </c>
      <c r="B83" s="4" t="s">
        <v>346</v>
      </c>
      <c r="C83" s="4" t="s">
        <v>347</v>
      </c>
      <c r="D83" s="4" t="s">
        <v>348</v>
      </c>
      <c r="E83" s="4" t="s">
        <v>349</v>
      </c>
      <c r="F83" s="4"/>
      <c r="G83" s="5" t="s">
        <v>16</v>
      </c>
      <c r="H83" s="5"/>
      <c r="I83" s="6"/>
      <c r="J83" s="3" t="s">
        <v>22</v>
      </c>
    </row>
    <row r="84" spans="1:10" ht="48" customHeight="1" x14ac:dyDescent="0.3">
      <c r="A84" s="3" t="s">
        <v>350</v>
      </c>
      <c r="B84" s="4" t="s">
        <v>346</v>
      </c>
      <c r="C84" s="4" t="s">
        <v>351</v>
      </c>
      <c r="D84" s="4" t="s">
        <v>352</v>
      </c>
      <c r="E84" s="4" t="s">
        <v>353</v>
      </c>
      <c r="F84" s="4"/>
      <c r="G84" s="5" t="s">
        <v>16</v>
      </c>
      <c r="H84" s="5"/>
      <c r="I84" s="6"/>
      <c r="J84" s="3" t="s">
        <v>22</v>
      </c>
    </row>
    <row r="85" spans="1:10" ht="34.049999999999997" customHeight="1" x14ac:dyDescent="0.3">
      <c r="A85" s="3" t="s">
        <v>354</v>
      </c>
      <c r="B85" s="4" t="s">
        <v>346</v>
      </c>
      <c r="C85" s="4" t="s">
        <v>355</v>
      </c>
      <c r="D85" s="4" t="s">
        <v>356</v>
      </c>
      <c r="E85" s="4" t="s">
        <v>357</v>
      </c>
      <c r="F85" s="4"/>
      <c r="G85" s="5" t="s">
        <v>16</v>
      </c>
      <c r="H85" s="5"/>
      <c r="I85" s="6"/>
      <c r="J85" s="3" t="s">
        <v>17</v>
      </c>
    </row>
    <row r="86" spans="1:10" ht="34.049999999999997" customHeight="1" x14ac:dyDescent="0.3">
      <c r="A86" s="3" t="s">
        <v>358</v>
      </c>
      <c r="B86" s="4" t="s">
        <v>346</v>
      </c>
      <c r="C86" s="4" t="s">
        <v>359</v>
      </c>
      <c r="D86" s="4" t="s">
        <v>360</v>
      </c>
      <c r="E86" s="4" t="s">
        <v>361</v>
      </c>
      <c r="F86" s="4"/>
      <c r="G86" s="5" t="s">
        <v>16</v>
      </c>
      <c r="H86" s="5"/>
      <c r="I86" s="6"/>
      <c r="J86" s="3" t="s">
        <v>22</v>
      </c>
    </row>
    <row r="87" spans="1:10" ht="34.049999999999997" customHeight="1" x14ac:dyDescent="0.3">
      <c r="A87" s="3" t="s">
        <v>362</v>
      </c>
      <c r="B87" s="4" t="s">
        <v>346</v>
      </c>
      <c r="C87" s="4" t="s">
        <v>363</v>
      </c>
      <c r="D87" s="4" t="s">
        <v>364</v>
      </c>
      <c r="E87" s="4" t="s">
        <v>365</v>
      </c>
      <c r="F87" s="4"/>
      <c r="G87" s="5" t="s">
        <v>16</v>
      </c>
      <c r="H87" s="5"/>
      <c r="I87" s="6"/>
      <c r="J87" s="3" t="s">
        <v>47</v>
      </c>
    </row>
    <row r="88" spans="1:10" ht="34.049999999999997" customHeight="1" x14ac:dyDescent="0.3">
      <c r="A88" s="3" t="s">
        <v>366</v>
      </c>
      <c r="B88" s="4" t="s">
        <v>367</v>
      </c>
      <c r="C88" s="4" t="s">
        <v>368</v>
      </c>
      <c r="D88" s="4" t="s">
        <v>369</v>
      </c>
      <c r="E88" s="4" t="s">
        <v>370</v>
      </c>
      <c r="F88" s="4"/>
      <c r="G88" s="5" t="s">
        <v>16</v>
      </c>
      <c r="H88" s="5"/>
      <c r="I88" s="6"/>
      <c r="J88" s="3" t="s">
        <v>17</v>
      </c>
    </row>
    <row r="89" spans="1:10" ht="34.049999999999997" customHeight="1" x14ac:dyDescent="0.3">
      <c r="A89" s="3" t="s">
        <v>371</v>
      </c>
      <c r="B89" s="4" t="s">
        <v>367</v>
      </c>
      <c r="C89" s="4" t="s">
        <v>372</v>
      </c>
      <c r="D89" s="4" t="s">
        <v>373</v>
      </c>
      <c r="E89" s="4" t="s">
        <v>374</v>
      </c>
      <c r="F89" s="4"/>
      <c r="G89" s="5" t="s">
        <v>16</v>
      </c>
      <c r="H89" s="5"/>
      <c r="I89" s="6"/>
      <c r="J89" s="3" t="s">
        <v>17</v>
      </c>
    </row>
    <row r="90" spans="1:10" ht="34.049999999999997" customHeight="1" x14ac:dyDescent="0.3">
      <c r="A90" s="3" t="s">
        <v>375</v>
      </c>
      <c r="B90" s="4" t="s">
        <v>367</v>
      </c>
      <c r="C90" s="4" t="s">
        <v>376</v>
      </c>
      <c r="D90" s="4" t="s">
        <v>377</v>
      </c>
      <c r="E90" s="4" t="s">
        <v>378</v>
      </c>
      <c r="F90" s="4"/>
      <c r="G90" s="5" t="s">
        <v>16</v>
      </c>
      <c r="H90" s="5"/>
      <c r="I90" s="6"/>
      <c r="J90" s="3" t="s">
        <v>22</v>
      </c>
    </row>
    <row r="91" spans="1:10" ht="48" customHeight="1" x14ac:dyDescent="0.3">
      <c r="A91" s="3" t="s">
        <v>379</v>
      </c>
      <c r="B91" s="4" t="s">
        <v>367</v>
      </c>
      <c r="C91" s="4" t="s">
        <v>380</v>
      </c>
      <c r="D91" s="4" t="s">
        <v>381</v>
      </c>
      <c r="E91" s="4" t="s">
        <v>382</v>
      </c>
      <c r="F91" s="4"/>
      <c r="G91" s="5" t="s">
        <v>16</v>
      </c>
      <c r="H91" s="5"/>
      <c r="I91" s="6"/>
      <c r="J91" s="3" t="s">
        <v>47</v>
      </c>
    </row>
    <row r="92" spans="1:10" ht="30" customHeight="1" x14ac:dyDescent="0.3">
      <c r="A92" s="3" t="s">
        <v>383</v>
      </c>
      <c r="B92" s="4" t="s">
        <v>367</v>
      </c>
      <c r="C92" s="4" t="s">
        <v>384</v>
      </c>
      <c r="D92" s="4" t="s">
        <v>385</v>
      </c>
      <c r="E92" s="4" t="s">
        <v>386</v>
      </c>
      <c r="F92" s="4"/>
      <c r="G92" s="5" t="s">
        <v>16</v>
      </c>
      <c r="H92" s="5"/>
      <c r="I92" s="6"/>
      <c r="J92" s="3" t="s">
        <v>22</v>
      </c>
    </row>
    <row r="93" spans="1:10" ht="48" customHeight="1" x14ac:dyDescent="0.3">
      <c r="A93" s="3" t="s">
        <v>387</v>
      </c>
      <c r="B93" s="4" t="s">
        <v>367</v>
      </c>
      <c r="C93" s="4" t="s">
        <v>388</v>
      </c>
      <c r="D93" s="4" t="s">
        <v>389</v>
      </c>
      <c r="E93" s="4" t="s">
        <v>390</v>
      </c>
      <c r="F93" s="4"/>
      <c r="G93" s="5" t="s">
        <v>16</v>
      </c>
      <c r="H93" s="5"/>
      <c r="I93" s="6"/>
      <c r="J93" s="3" t="s">
        <v>17</v>
      </c>
    </row>
    <row r="94" spans="1:10" ht="34.049999999999997" customHeight="1" x14ac:dyDescent="0.3">
      <c r="A94" s="3" t="s">
        <v>391</v>
      </c>
      <c r="B94" s="4" t="s">
        <v>367</v>
      </c>
      <c r="C94" s="4" t="s">
        <v>392</v>
      </c>
      <c r="D94" s="4" t="s">
        <v>393</v>
      </c>
      <c r="E94" s="4" t="s">
        <v>394</v>
      </c>
      <c r="F94" s="4"/>
      <c r="G94" s="5" t="s">
        <v>16</v>
      </c>
      <c r="H94" s="5"/>
      <c r="I94" s="6"/>
      <c r="J94" s="3" t="s">
        <v>22</v>
      </c>
    </row>
    <row r="95" spans="1:10" ht="34.049999999999997" customHeight="1" x14ac:dyDescent="0.3">
      <c r="A95" s="3" t="s">
        <v>395</v>
      </c>
      <c r="B95" s="4" t="s">
        <v>367</v>
      </c>
      <c r="C95" s="4" t="s">
        <v>396</v>
      </c>
      <c r="D95" s="4" t="s">
        <v>397</v>
      </c>
      <c r="E95" s="4" t="s">
        <v>398</v>
      </c>
      <c r="F95" s="4"/>
      <c r="G95" s="5" t="s">
        <v>16</v>
      </c>
      <c r="H95" s="5"/>
      <c r="I95" s="6"/>
      <c r="J95" s="3" t="s">
        <v>22</v>
      </c>
    </row>
    <row r="96" spans="1:10" ht="34.049999999999997" customHeight="1" x14ac:dyDescent="0.3">
      <c r="A96" s="3" t="s">
        <v>399</v>
      </c>
      <c r="B96" s="4" t="s">
        <v>367</v>
      </c>
      <c r="C96" s="4" t="s">
        <v>400</v>
      </c>
      <c r="D96" s="4" t="s">
        <v>401</v>
      </c>
      <c r="E96" s="4" t="s">
        <v>402</v>
      </c>
      <c r="F96" s="4"/>
      <c r="G96" s="5" t="s">
        <v>16</v>
      </c>
      <c r="H96" s="5"/>
      <c r="I96" s="6"/>
      <c r="J96" s="3" t="s">
        <v>47</v>
      </c>
    </row>
    <row r="97" spans="1:10" ht="34.049999999999997" customHeight="1" x14ac:dyDescent="0.3">
      <c r="A97" s="3" t="s">
        <v>403</v>
      </c>
      <c r="B97" s="4" t="s">
        <v>367</v>
      </c>
      <c r="C97" s="4" t="s">
        <v>404</v>
      </c>
      <c r="D97" s="4" t="s">
        <v>405</v>
      </c>
      <c r="E97" s="4" t="s">
        <v>406</v>
      </c>
      <c r="F97" s="4"/>
      <c r="G97" s="5" t="s">
        <v>16</v>
      </c>
      <c r="H97" s="5"/>
      <c r="I97" s="6"/>
      <c r="J97" s="3" t="s">
        <v>47</v>
      </c>
    </row>
    <row r="98" spans="1:10" ht="34.049999999999997" customHeight="1" x14ac:dyDescent="0.3">
      <c r="A98" s="3" t="s">
        <v>407</v>
      </c>
      <c r="B98" s="4" t="s">
        <v>408</v>
      </c>
      <c r="C98" s="4" t="s">
        <v>409</v>
      </c>
      <c r="D98" s="4" t="s">
        <v>410</v>
      </c>
      <c r="E98" s="4" t="s">
        <v>411</v>
      </c>
      <c r="F98" s="4"/>
      <c r="G98" s="5" t="s">
        <v>16</v>
      </c>
      <c r="H98" s="5"/>
      <c r="I98" s="6"/>
      <c r="J98" s="3" t="s">
        <v>17</v>
      </c>
    </row>
    <row r="99" spans="1:10" ht="34.049999999999997" customHeight="1" x14ac:dyDescent="0.3">
      <c r="A99" s="3" t="s">
        <v>412</v>
      </c>
      <c r="B99" s="4" t="s">
        <v>408</v>
      </c>
      <c r="C99" s="4" t="s">
        <v>413</v>
      </c>
      <c r="D99" s="4" t="s">
        <v>414</v>
      </c>
      <c r="E99" s="4" t="s">
        <v>415</v>
      </c>
      <c r="F99" s="4"/>
      <c r="G99" s="5" t="s">
        <v>16</v>
      </c>
      <c r="H99" s="5"/>
      <c r="I99" s="6"/>
      <c r="J99" s="3" t="s">
        <v>47</v>
      </c>
    </row>
    <row r="100" spans="1:10" ht="34.049999999999997" customHeight="1" x14ac:dyDescent="0.3">
      <c r="A100" s="3" t="s">
        <v>416</v>
      </c>
      <c r="B100" s="4" t="s">
        <v>408</v>
      </c>
      <c r="C100" s="4" t="s">
        <v>417</v>
      </c>
      <c r="D100" s="4" t="s">
        <v>418</v>
      </c>
      <c r="E100" s="4" t="s">
        <v>419</v>
      </c>
      <c r="F100" s="4"/>
      <c r="G100" s="5" t="s">
        <v>16</v>
      </c>
      <c r="H100" s="5"/>
      <c r="I100" s="6"/>
      <c r="J100" s="3" t="s">
        <v>47</v>
      </c>
    </row>
    <row r="101" spans="1:10" ht="34.049999999999997" customHeight="1" x14ac:dyDescent="0.3">
      <c r="A101" s="3" t="s">
        <v>420</v>
      </c>
      <c r="B101" s="4" t="s">
        <v>408</v>
      </c>
      <c r="C101" s="4" t="s">
        <v>421</v>
      </c>
      <c r="D101" s="4" t="s">
        <v>422</v>
      </c>
      <c r="E101" s="4" t="s">
        <v>423</v>
      </c>
      <c r="F101" s="4"/>
      <c r="G101" s="5" t="s">
        <v>16</v>
      </c>
      <c r="H101" s="5"/>
      <c r="I101" s="6"/>
      <c r="J101" s="3" t="s">
        <v>17</v>
      </c>
    </row>
    <row r="102" spans="1:10" ht="34.049999999999997" customHeight="1" x14ac:dyDescent="0.3">
      <c r="A102" s="3" t="s">
        <v>424</v>
      </c>
      <c r="B102" s="4" t="s">
        <v>408</v>
      </c>
      <c r="C102" s="4" t="s">
        <v>425</v>
      </c>
      <c r="D102" s="4" t="s">
        <v>426</v>
      </c>
      <c r="E102" s="4" t="s">
        <v>427</v>
      </c>
      <c r="F102" s="4"/>
      <c r="G102" s="5" t="s">
        <v>16</v>
      </c>
      <c r="H102" s="5"/>
      <c r="I102" s="6"/>
      <c r="J102" s="3" t="s">
        <v>22</v>
      </c>
    </row>
    <row r="103" spans="1:10" ht="34.049999999999997" customHeight="1" x14ac:dyDescent="0.3">
      <c r="A103" s="3" t="s">
        <v>428</v>
      </c>
      <c r="B103" s="4" t="s">
        <v>408</v>
      </c>
      <c r="C103" s="4" t="s">
        <v>429</v>
      </c>
      <c r="D103" s="4" t="s">
        <v>430</v>
      </c>
      <c r="E103" s="4" t="s">
        <v>431</v>
      </c>
      <c r="F103" s="4"/>
      <c r="G103" s="5" t="s">
        <v>16</v>
      </c>
      <c r="H103" s="5"/>
      <c r="I103" s="6"/>
      <c r="J103" s="3" t="s">
        <v>22</v>
      </c>
    </row>
    <row r="104" spans="1:10" ht="34.049999999999997" customHeight="1" x14ac:dyDescent="0.3">
      <c r="A104" s="3" t="s">
        <v>432</v>
      </c>
      <c r="B104" s="4" t="s">
        <v>408</v>
      </c>
      <c r="C104" s="4" t="s">
        <v>433</v>
      </c>
      <c r="D104" s="4" t="s">
        <v>434</v>
      </c>
      <c r="E104" s="4" t="s">
        <v>435</v>
      </c>
      <c r="F104" s="4"/>
      <c r="G104" s="5" t="s">
        <v>16</v>
      </c>
      <c r="H104" s="5"/>
      <c r="I104" s="6"/>
      <c r="J104" s="3" t="s">
        <v>17</v>
      </c>
    </row>
    <row r="105" spans="1:10" ht="34.049999999999997" customHeight="1" x14ac:dyDescent="0.3">
      <c r="A105" s="3" t="s">
        <v>436</v>
      </c>
      <c r="B105" s="4" t="s">
        <v>408</v>
      </c>
      <c r="C105" s="4" t="s">
        <v>437</v>
      </c>
      <c r="D105" s="4" t="s">
        <v>438</v>
      </c>
      <c r="E105" s="4" t="s">
        <v>439</v>
      </c>
      <c r="F105" s="4"/>
      <c r="G105" s="5" t="s">
        <v>16</v>
      </c>
      <c r="H105" s="5"/>
      <c r="I105" s="6"/>
      <c r="J105" s="3" t="s">
        <v>22</v>
      </c>
    </row>
    <row r="106" spans="1:10" ht="34.049999999999997" customHeight="1" x14ac:dyDescent="0.3">
      <c r="A106" s="3" t="s">
        <v>440</v>
      </c>
      <c r="B106" s="4" t="s">
        <v>441</v>
      </c>
      <c r="C106" s="4" t="s">
        <v>442</v>
      </c>
      <c r="D106" s="4" t="s">
        <v>443</v>
      </c>
      <c r="E106" s="4" t="s">
        <v>444</v>
      </c>
      <c r="F106" s="4"/>
      <c r="G106" s="5" t="s">
        <v>16</v>
      </c>
      <c r="H106" s="5"/>
      <c r="I106" s="6"/>
      <c r="J106" s="3" t="s">
        <v>22</v>
      </c>
    </row>
    <row r="107" spans="1:10" ht="30" customHeight="1" x14ac:dyDescent="0.3">
      <c r="A107" s="3" t="s">
        <v>445</v>
      </c>
      <c r="B107" s="4" t="s">
        <v>441</v>
      </c>
      <c r="C107" s="4" t="s">
        <v>446</v>
      </c>
      <c r="D107" s="4" t="s">
        <v>447</v>
      </c>
      <c r="E107" s="4" t="s">
        <v>448</v>
      </c>
      <c r="F107" s="4"/>
      <c r="G107" s="5" t="s">
        <v>16</v>
      </c>
      <c r="H107" s="5"/>
      <c r="I107" s="6"/>
      <c r="J107" s="3" t="s">
        <v>22</v>
      </c>
    </row>
    <row r="108" spans="1:10" ht="34.049999999999997" customHeight="1" x14ac:dyDescent="0.3">
      <c r="A108" s="3" t="s">
        <v>449</v>
      </c>
      <c r="B108" s="4" t="s">
        <v>441</v>
      </c>
      <c r="C108" s="4" t="s">
        <v>450</v>
      </c>
      <c r="D108" s="4" t="s">
        <v>451</v>
      </c>
      <c r="E108" s="4" t="s">
        <v>452</v>
      </c>
      <c r="F108" s="4"/>
      <c r="G108" s="5" t="s">
        <v>16</v>
      </c>
      <c r="H108" s="5"/>
      <c r="I108" s="6"/>
      <c r="J108" s="3" t="s">
        <v>17</v>
      </c>
    </row>
    <row r="109" spans="1:10" ht="34.049999999999997" customHeight="1" x14ac:dyDescent="0.3">
      <c r="A109" s="3" t="s">
        <v>453</v>
      </c>
      <c r="B109" s="4" t="s">
        <v>441</v>
      </c>
      <c r="C109" s="4" t="s">
        <v>454</v>
      </c>
      <c r="D109" s="4" t="s">
        <v>455</v>
      </c>
      <c r="E109" s="4" t="s">
        <v>456</v>
      </c>
      <c r="F109" s="4"/>
      <c r="G109" s="5" t="s">
        <v>16</v>
      </c>
      <c r="H109" s="5"/>
      <c r="I109" s="6"/>
      <c r="J109" s="3" t="s">
        <v>17</v>
      </c>
    </row>
    <row r="110" spans="1:10" ht="34.049999999999997" customHeight="1" x14ac:dyDescent="0.3">
      <c r="A110" s="3" t="s">
        <v>457</v>
      </c>
      <c r="B110" s="4" t="s">
        <v>441</v>
      </c>
      <c r="C110" s="4" t="s">
        <v>458</v>
      </c>
      <c r="D110" s="4" t="s">
        <v>459</v>
      </c>
      <c r="E110" s="4" t="s">
        <v>460</v>
      </c>
      <c r="F110" s="4"/>
      <c r="G110" s="5" t="s">
        <v>16</v>
      </c>
      <c r="H110" s="5"/>
      <c r="I110" s="6"/>
      <c r="J110" s="3" t="s">
        <v>22</v>
      </c>
    </row>
    <row r="111" spans="1:10" ht="30" customHeight="1" x14ac:dyDescent="0.3">
      <c r="A111" s="3" t="s">
        <v>461</v>
      </c>
      <c r="B111" s="4" t="s">
        <v>441</v>
      </c>
      <c r="C111" s="4" t="s">
        <v>462</v>
      </c>
      <c r="D111" s="4" t="s">
        <v>463</v>
      </c>
      <c r="E111" s="4" t="s">
        <v>464</v>
      </c>
      <c r="F111" s="4"/>
      <c r="G111" s="5" t="s">
        <v>16</v>
      </c>
      <c r="H111" s="5"/>
      <c r="I111" s="6"/>
      <c r="J111" s="3" t="s">
        <v>22</v>
      </c>
    </row>
    <row r="112" spans="1:10" ht="48" customHeight="1" x14ac:dyDescent="0.3">
      <c r="A112" s="3" t="s">
        <v>465</v>
      </c>
      <c r="B112" s="4" t="s">
        <v>441</v>
      </c>
      <c r="C112" s="4" t="s">
        <v>466</v>
      </c>
      <c r="D112" s="4" t="s">
        <v>467</v>
      </c>
      <c r="E112" s="4" t="s">
        <v>468</v>
      </c>
      <c r="F112" s="4"/>
      <c r="G112" s="5" t="s">
        <v>16</v>
      </c>
      <c r="H112" s="5"/>
      <c r="I112" s="6"/>
      <c r="J112" s="3" t="s">
        <v>22</v>
      </c>
    </row>
    <row r="113" spans="1:10" ht="34.049999999999997" customHeight="1" x14ac:dyDescent="0.3">
      <c r="A113" s="3" t="s">
        <v>469</v>
      </c>
      <c r="B113" s="4" t="s">
        <v>441</v>
      </c>
      <c r="C113" s="4" t="s">
        <v>470</v>
      </c>
      <c r="D113" s="4" t="s">
        <v>471</v>
      </c>
      <c r="E113" s="4" t="s">
        <v>472</v>
      </c>
      <c r="F113" s="4"/>
      <c r="G113" s="5" t="s">
        <v>16</v>
      </c>
      <c r="H113" s="5"/>
      <c r="I113" s="6"/>
      <c r="J113" s="3" t="s">
        <v>22</v>
      </c>
    </row>
    <row r="114" spans="1:10" ht="34.049999999999997" customHeight="1" x14ac:dyDescent="0.3">
      <c r="A114" s="3" t="s">
        <v>473</v>
      </c>
      <c r="B114" s="4" t="s">
        <v>441</v>
      </c>
      <c r="C114" s="4" t="s">
        <v>474</v>
      </c>
      <c r="D114" s="4" t="s">
        <v>475</v>
      </c>
      <c r="E114" s="4" t="s">
        <v>476</v>
      </c>
      <c r="F114" s="4"/>
      <c r="G114" s="5" t="s">
        <v>16</v>
      </c>
      <c r="H114" s="5"/>
      <c r="I114" s="6"/>
      <c r="J114" s="3" t="s">
        <v>47</v>
      </c>
    </row>
    <row r="115" spans="1:10" ht="34.049999999999997" customHeight="1" x14ac:dyDescent="0.3">
      <c r="A115" s="3" t="s">
        <v>477</v>
      </c>
      <c r="B115" s="4" t="s">
        <v>441</v>
      </c>
      <c r="C115" s="4" t="s">
        <v>478</v>
      </c>
      <c r="D115" s="4" t="s">
        <v>479</v>
      </c>
      <c r="E115" s="4" t="s">
        <v>480</v>
      </c>
      <c r="F115" s="4"/>
      <c r="G115" s="5" t="s">
        <v>16</v>
      </c>
      <c r="H115" s="5"/>
      <c r="I115" s="6"/>
      <c r="J115" s="3" t="s">
        <v>47</v>
      </c>
    </row>
    <row r="116" spans="1:10" ht="34.049999999999997" customHeight="1" x14ac:dyDescent="0.3">
      <c r="A116" s="3" t="s">
        <v>481</v>
      </c>
      <c r="B116" s="4" t="s">
        <v>441</v>
      </c>
      <c r="C116" s="4" t="s">
        <v>482</v>
      </c>
      <c r="D116" s="4" t="s">
        <v>483</v>
      </c>
      <c r="E116" s="4" t="s">
        <v>484</v>
      </c>
      <c r="F116" s="4"/>
      <c r="G116" s="5" t="s">
        <v>16</v>
      </c>
      <c r="H116" s="5"/>
      <c r="I116" s="6"/>
      <c r="J116" s="3" t="s">
        <v>47</v>
      </c>
    </row>
    <row r="117" spans="1:10" ht="34.049999999999997" customHeight="1" x14ac:dyDescent="0.3">
      <c r="A117" s="3" t="s">
        <v>485</v>
      </c>
      <c r="B117" s="4" t="s">
        <v>486</v>
      </c>
      <c r="C117" s="4" t="s">
        <v>487</v>
      </c>
      <c r="D117" s="4" t="s">
        <v>488</v>
      </c>
      <c r="E117" s="4" t="s">
        <v>489</v>
      </c>
      <c r="F117" s="4"/>
      <c r="G117" s="5" t="s">
        <v>16</v>
      </c>
      <c r="H117" s="5"/>
      <c r="I117" s="6"/>
      <c r="J117" s="3" t="s">
        <v>17</v>
      </c>
    </row>
    <row r="118" spans="1:10" ht="34.049999999999997" customHeight="1" x14ac:dyDescent="0.3">
      <c r="A118" s="3" t="s">
        <v>490</v>
      </c>
      <c r="B118" s="4" t="s">
        <v>486</v>
      </c>
      <c r="C118" s="4" t="s">
        <v>491</v>
      </c>
      <c r="D118" s="4" t="s">
        <v>492</v>
      </c>
      <c r="E118" s="4" t="s">
        <v>493</v>
      </c>
      <c r="F118" s="4"/>
      <c r="G118" s="5" t="s">
        <v>16</v>
      </c>
      <c r="H118" s="5"/>
      <c r="I118" s="6"/>
      <c r="J118" s="3" t="s">
        <v>17</v>
      </c>
    </row>
    <row r="119" spans="1:10" ht="34.049999999999997" customHeight="1" x14ac:dyDescent="0.3">
      <c r="A119" s="3" t="s">
        <v>494</v>
      </c>
      <c r="B119" s="4" t="s">
        <v>486</v>
      </c>
      <c r="C119" s="4" t="s">
        <v>495</v>
      </c>
      <c r="D119" s="4" t="s">
        <v>496</v>
      </c>
      <c r="E119" s="4" t="s">
        <v>497</v>
      </c>
      <c r="F119" s="4"/>
      <c r="G119" s="5" t="s">
        <v>16</v>
      </c>
      <c r="H119" s="5"/>
      <c r="I119" s="6"/>
      <c r="J119" s="3" t="s">
        <v>22</v>
      </c>
    </row>
    <row r="120" spans="1:10" ht="34.049999999999997" customHeight="1" x14ac:dyDescent="0.3">
      <c r="A120" s="3" t="s">
        <v>498</v>
      </c>
      <c r="B120" s="4" t="s">
        <v>499</v>
      </c>
      <c r="C120" s="4" t="s">
        <v>500</v>
      </c>
      <c r="D120" s="4" t="s">
        <v>501</v>
      </c>
      <c r="E120" s="4" t="s">
        <v>502</v>
      </c>
      <c r="F120" s="4"/>
      <c r="G120" s="5" t="s">
        <v>16</v>
      </c>
      <c r="H120" s="5"/>
      <c r="I120" s="6"/>
      <c r="J120" s="3" t="s">
        <v>17</v>
      </c>
    </row>
    <row r="121" spans="1:10" ht="34.049999999999997" customHeight="1" x14ac:dyDescent="0.3">
      <c r="A121" s="3" t="s">
        <v>503</v>
      </c>
      <c r="B121" s="4" t="s">
        <v>499</v>
      </c>
      <c r="C121" s="4" t="s">
        <v>504</v>
      </c>
      <c r="D121" s="4" t="s">
        <v>505</v>
      </c>
      <c r="E121" s="4" t="s">
        <v>506</v>
      </c>
      <c r="F121" s="4"/>
      <c r="G121" s="5" t="s">
        <v>16</v>
      </c>
      <c r="H121" s="5"/>
      <c r="I121" s="6"/>
      <c r="J121" s="3" t="s">
        <v>17</v>
      </c>
    </row>
    <row r="122" spans="1:10" ht="34.049999999999997" customHeight="1" x14ac:dyDescent="0.3">
      <c r="A122" s="3" t="s">
        <v>507</v>
      </c>
      <c r="B122" s="4" t="s">
        <v>499</v>
      </c>
      <c r="C122" s="4" t="s">
        <v>508</v>
      </c>
      <c r="D122" s="4" t="s">
        <v>509</v>
      </c>
      <c r="E122" s="4" t="s">
        <v>510</v>
      </c>
      <c r="F122" s="4"/>
      <c r="G122" s="5" t="s">
        <v>16</v>
      </c>
      <c r="H122" s="5"/>
      <c r="I122" s="6"/>
      <c r="J122" s="3" t="s">
        <v>17</v>
      </c>
    </row>
    <row r="123" spans="1:10" ht="34.049999999999997" customHeight="1" x14ac:dyDescent="0.3">
      <c r="A123" s="3" t="s">
        <v>511</v>
      </c>
      <c r="B123" s="4" t="s">
        <v>499</v>
      </c>
      <c r="C123" s="4" t="s">
        <v>512</v>
      </c>
      <c r="D123" s="4" t="s">
        <v>513</v>
      </c>
      <c r="E123" s="4" t="s">
        <v>514</v>
      </c>
      <c r="F123" s="4"/>
      <c r="G123" s="5" t="s">
        <v>16</v>
      </c>
      <c r="H123" s="5"/>
      <c r="I123" s="6"/>
      <c r="J123" s="3" t="s">
        <v>22</v>
      </c>
    </row>
    <row r="124" spans="1:10" ht="34.049999999999997" customHeight="1" x14ac:dyDescent="0.3">
      <c r="A124" s="3" t="s">
        <v>515</v>
      </c>
      <c r="B124" s="4" t="s">
        <v>499</v>
      </c>
      <c r="C124" s="4" t="s">
        <v>516</v>
      </c>
      <c r="D124" s="4" t="s">
        <v>517</v>
      </c>
      <c r="E124" s="4" t="s">
        <v>518</v>
      </c>
      <c r="F124" s="4"/>
      <c r="G124" s="5" t="s">
        <v>16</v>
      </c>
      <c r="H124" s="5"/>
      <c r="I124" s="6"/>
      <c r="J124" s="3" t="s">
        <v>22</v>
      </c>
    </row>
    <row r="125" spans="1:10" ht="34.049999999999997" customHeight="1" x14ac:dyDescent="0.3">
      <c r="A125" s="3" t="s">
        <v>519</v>
      </c>
      <c r="B125" s="4" t="s">
        <v>499</v>
      </c>
      <c r="C125" s="4" t="s">
        <v>520</v>
      </c>
      <c r="D125" s="4" t="s">
        <v>521</v>
      </c>
      <c r="E125" s="4" t="s">
        <v>522</v>
      </c>
      <c r="F125" s="4"/>
      <c r="G125" s="5" t="s">
        <v>16</v>
      </c>
      <c r="H125" s="5"/>
      <c r="I125" s="6"/>
      <c r="J125" s="3" t="s">
        <v>17</v>
      </c>
    </row>
    <row r="126" spans="1:10" ht="34.049999999999997" customHeight="1" x14ac:dyDescent="0.3">
      <c r="A126" s="3" t="s">
        <v>523</v>
      </c>
      <c r="B126" s="4" t="s">
        <v>499</v>
      </c>
      <c r="C126" s="4" t="s">
        <v>524</v>
      </c>
      <c r="D126" s="4" t="s">
        <v>525</v>
      </c>
      <c r="E126" s="4" t="s">
        <v>526</v>
      </c>
      <c r="F126" s="4"/>
      <c r="G126" s="5" t="s">
        <v>16</v>
      </c>
      <c r="H126" s="5"/>
      <c r="I126" s="6"/>
      <c r="J126" s="3" t="s">
        <v>22</v>
      </c>
    </row>
    <row r="127" spans="1:10" ht="48" customHeight="1" x14ac:dyDescent="0.3">
      <c r="A127" s="3" t="s">
        <v>527</v>
      </c>
      <c r="B127" s="4" t="s">
        <v>499</v>
      </c>
      <c r="C127" s="4" t="s">
        <v>528</v>
      </c>
      <c r="D127" s="4" t="s">
        <v>529</v>
      </c>
      <c r="E127" s="4" t="s">
        <v>530</v>
      </c>
      <c r="F127" s="4"/>
      <c r="G127" s="5" t="s">
        <v>16</v>
      </c>
      <c r="H127" s="5"/>
      <c r="I127" s="6"/>
      <c r="J127" s="3" t="s">
        <v>22</v>
      </c>
    </row>
    <row r="128" spans="1:10" ht="34.049999999999997" customHeight="1" x14ac:dyDescent="0.3">
      <c r="A128" s="3" t="s">
        <v>531</v>
      </c>
      <c r="B128" s="4" t="s">
        <v>499</v>
      </c>
      <c r="C128" s="4" t="s">
        <v>532</v>
      </c>
      <c r="D128" s="4" t="s">
        <v>533</v>
      </c>
      <c r="E128" s="4" t="s">
        <v>534</v>
      </c>
      <c r="F128" s="4"/>
      <c r="G128" s="5" t="s">
        <v>16</v>
      </c>
      <c r="H128" s="5"/>
      <c r="I128" s="6"/>
      <c r="J128" s="3" t="s">
        <v>22</v>
      </c>
    </row>
    <row r="129" spans="1:10" ht="34.049999999999997" customHeight="1" x14ac:dyDescent="0.3">
      <c r="A129" s="3" t="s">
        <v>535</v>
      </c>
      <c r="B129" s="4" t="s">
        <v>499</v>
      </c>
      <c r="C129" s="4" t="s">
        <v>536</v>
      </c>
      <c r="D129" s="4" t="s">
        <v>537</v>
      </c>
      <c r="E129" s="4" t="s">
        <v>538</v>
      </c>
      <c r="F129" s="4"/>
      <c r="G129" s="5" t="s">
        <v>16</v>
      </c>
      <c r="H129" s="5"/>
      <c r="I129" s="6"/>
      <c r="J129" s="3" t="s">
        <v>22</v>
      </c>
    </row>
    <row r="130" spans="1:10" ht="34.049999999999997" customHeight="1" x14ac:dyDescent="0.3">
      <c r="A130" s="3" t="s">
        <v>539</v>
      </c>
      <c r="B130" s="4" t="s">
        <v>499</v>
      </c>
      <c r="C130" s="4" t="s">
        <v>540</v>
      </c>
      <c r="D130" s="4" t="s">
        <v>541</v>
      </c>
      <c r="E130" s="4" t="s">
        <v>542</v>
      </c>
      <c r="F130" s="4"/>
      <c r="G130" s="5" t="s">
        <v>16</v>
      </c>
      <c r="H130" s="5"/>
      <c r="I130" s="6"/>
      <c r="J130" s="3" t="s">
        <v>22</v>
      </c>
    </row>
    <row r="131" spans="1:10" ht="34.049999999999997" customHeight="1" x14ac:dyDescent="0.3">
      <c r="A131" s="3" t="s">
        <v>543</v>
      </c>
      <c r="B131" s="4" t="s">
        <v>499</v>
      </c>
      <c r="C131" s="4" t="s">
        <v>544</v>
      </c>
      <c r="D131" s="4" t="s">
        <v>545</v>
      </c>
      <c r="E131" s="4" t="s">
        <v>546</v>
      </c>
      <c r="F131" s="4"/>
      <c r="G131" s="5" t="s">
        <v>16</v>
      </c>
      <c r="H131" s="5"/>
      <c r="I131" s="6"/>
      <c r="J131" s="3" t="s">
        <v>47</v>
      </c>
    </row>
    <row r="132" spans="1:10" ht="34.049999999999997" customHeight="1" x14ac:dyDescent="0.3">
      <c r="A132" s="3" t="s">
        <v>547</v>
      </c>
      <c r="B132" s="4" t="s">
        <v>499</v>
      </c>
      <c r="C132" s="4" t="s">
        <v>548</v>
      </c>
      <c r="D132" s="4" t="s">
        <v>549</v>
      </c>
      <c r="E132" s="4" t="s">
        <v>550</v>
      </c>
      <c r="F132" s="4"/>
      <c r="G132" s="5" t="s">
        <v>16</v>
      </c>
      <c r="H132" s="5"/>
      <c r="I132" s="6"/>
      <c r="J132" s="3" t="s">
        <v>47</v>
      </c>
    </row>
    <row r="133" spans="1:10" ht="48" customHeight="1" x14ac:dyDescent="0.3">
      <c r="A133" s="3" t="s">
        <v>551</v>
      </c>
      <c r="B133" s="4" t="s">
        <v>499</v>
      </c>
      <c r="C133" s="4" t="s">
        <v>552</v>
      </c>
      <c r="D133" s="4" t="s">
        <v>553</v>
      </c>
      <c r="E133" s="4" t="s">
        <v>554</v>
      </c>
      <c r="F133" s="4"/>
      <c r="G133" s="5" t="s">
        <v>16</v>
      </c>
      <c r="H133" s="5"/>
      <c r="I133" s="6"/>
      <c r="J133" s="3" t="s">
        <v>47</v>
      </c>
    </row>
    <row r="134" spans="1:10" ht="34.049999999999997" customHeight="1" x14ac:dyDescent="0.3">
      <c r="A134" s="3" t="s">
        <v>555</v>
      </c>
      <c r="B134" s="4" t="s">
        <v>499</v>
      </c>
      <c r="C134" s="4" t="s">
        <v>556</v>
      </c>
      <c r="D134" s="4" t="s">
        <v>557</v>
      </c>
      <c r="E134" s="4" t="s">
        <v>558</v>
      </c>
      <c r="F134" s="4"/>
      <c r="G134" s="5" t="s">
        <v>16</v>
      </c>
      <c r="H134" s="5"/>
      <c r="I134" s="6"/>
      <c r="J134" s="3" t="s">
        <v>47</v>
      </c>
    </row>
    <row r="135" spans="1:10" ht="34.049999999999997" customHeight="1" x14ac:dyDescent="0.3">
      <c r="A135" s="3" t="s">
        <v>559</v>
      </c>
      <c r="B135" s="4" t="s">
        <v>499</v>
      </c>
      <c r="C135" s="4" t="s">
        <v>560</v>
      </c>
      <c r="D135" s="4" t="s">
        <v>561</v>
      </c>
      <c r="E135" s="4" t="s">
        <v>562</v>
      </c>
      <c r="F135" s="4"/>
      <c r="G135" s="5" t="s">
        <v>16</v>
      </c>
      <c r="H135" s="5"/>
      <c r="I135" s="6"/>
      <c r="J135" s="3" t="s">
        <v>47</v>
      </c>
    </row>
    <row r="136" spans="1:10" ht="34.049999999999997" customHeight="1" x14ac:dyDescent="0.3">
      <c r="A136" s="3" t="s">
        <v>563</v>
      </c>
      <c r="B136" s="4" t="s">
        <v>564</v>
      </c>
      <c r="C136" s="4" t="s">
        <v>565</v>
      </c>
      <c r="D136" s="4" t="s">
        <v>566</v>
      </c>
      <c r="E136" s="4" t="s">
        <v>567</v>
      </c>
      <c r="F136" s="4"/>
      <c r="G136" s="5" t="s">
        <v>16</v>
      </c>
      <c r="H136" s="5"/>
      <c r="I136" s="6"/>
      <c r="J136" s="3" t="s">
        <v>22</v>
      </c>
    </row>
    <row r="137" spans="1:10" ht="34.049999999999997" customHeight="1" x14ac:dyDescent="0.3">
      <c r="A137" s="3" t="s">
        <v>568</v>
      </c>
      <c r="B137" s="4" t="s">
        <v>564</v>
      </c>
      <c r="C137" s="4" t="s">
        <v>569</v>
      </c>
      <c r="D137" s="4" t="s">
        <v>570</v>
      </c>
      <c r="E137" s="4" t="s">
        <v>571</v>
      </c>
      <c r="F137" s="4"/>
      <c r="G137" s="5" t="s">
        <v>16</v>
      </c>
      <c r="H137" s="5"/>
      <c r="I137" s="6"/>
      <c r="J137" s="3" t="s">
        <v>22</v>
      </c>
    </row>
    <row r="138" spans="1:10" ht="34.049999999999997" customHeight="1" x14ac:dyDescent="0.3">
      <c r="A138" s="3" t="s">
        <v>572</v>
      </c>
      <c r="B138" s="4" t="s">
        <v>564</v>
      </c>
      <c r="C138" s="4" t="s">
        <v>573</v>
      </c>
      <c r="D138" s="4" t="s">
        <v>574</v>
      </c>
      <c r="E138" s="4" t="s">
        <v>575</v>
      </c>
      <c r="F138" s="4"/>
      <c r="G138" s="5" t="s">
        <v>16</v>
      </c>
      <c r="H138" s="5"/>
      <c r="I138" s="6"/>
      <c r="J138" s="3" t="s">
        <v>17</v>
      </c>
    </row>
    <row r="139" spans="1:10" ht="34.049999999999997" customHeight="1" x14ac:dyDescent="0.3">
      <c r="A139" s="3" t="s">
        <v>576</v>
      </c>
      <c r="B139" s="4" t="s">
        <v>564</v>
      </c>
      <c r="C139" s="4" t="s">
        <v>577</v>
      </c>
      <c r="D139" s="4" t="s">
        <v>578</v>
      </c>
      <c r="E139" s="4" t="s">
        <v>579</v>
      </c>
      <c r="F139" s="4"/>
      <c r="G139" s="5" t="s">
        <v>16</v>
      </c>
      <c r="H139" s="5"/>
      <c r="I139" s="6"/>
      <c r="J139" s="3" t="s">
        <v>47</v>
      </c>
    </row>
    <row r="140" spans="1:10" ht="34.049999999999997" customHeight="1" x14ac:dyDescent="0.3">
      <c r="A140" s="3" t="s">
        <v>580</v>
      </c>
      <c r="B140" s="4" t="s">
        <v>564</v>
      </c>
      <c r="C140" s="4" t="s">
        <v>581</v>
      </c>
      <c r="D140" s="4" t="s">
        <v>582</v>
      </c>
      <c r="E140" s="4" t="s">
        <v>583</v>
      </c>
      <c r="F140" s="4"/>
      <c r="G140" s="5" t="s">
        <v>16</v>
      </c>
      <c r="H140" s="5"/>
      <c r="I140" s="6"/>
      <c r="J140" s="3" t="s">
        <v>47</v>
      </c>
    </row>
    <row r="141" spans="1:10" ht="34.049999999999997" customHeight="1" x14ac:dyDescent="0.3">
      <c r="A141" s="3" t="s">
        <v>584</v>
      </c>
      <c r="B141" s="4" t="s">
        <v>564</v>
      </c>
      <c r="C141" s="4" t="s">
        <v>585</v>
      </c>
      <c r="D141" s="4" t="s">
        <v>586</v>
      </c>
      <c r="E141" s="4" t="s">
        <v>587</v>
      </c>
      <c r="F141" s="4"/>
      <c r="G141" s="5" t="s">
        <v>16</v>
      </c>
      <c r="H141" s="5"/>
      <c r="I141" s="6"/>
      <c r="J141" s="3" t="s">
        <v>47</v>
      </c>
    </row>
    <row r="142" spans="1:10" ht="34.049999999999997" customHeight="1" x14ac:dyDescent="0.3">
      <c r="A142" s="3" t="s">
        <v>588</v>
      </c>
      <c r="B142" s="4" t="s">
        <v>589</v>
      </c>
      <c r="C142" s="4" t="s">
        <v>590</v>
      </c>
      <c r="D142" s="4" t="s">
        <v>591</v>
      </c>
      <c r="E142" s="4" t="s">
        <v>592</v>
      </c>
      <c r="F142" s="4"/>
      <c r="G142" s="5" t="s">
        <v>16</v>
      </c>
      <c r="H142" s="5"/>
      <c r="I142" s="6"/>
      <c r="J142" s="3" t="s">
        <v>22</v>
      </c>
    </row>
    <row r="143" spans="1:10" ht="34.049999999999997" customHeight="1" x14ac:dyDescent="0.3">
      <c r="A143" s="3" t="s">
        <v>593</v>
      </c>
      <c r="B143" s="4" t="s">
        <v>589</v>
      </c>
      <c r="C143" s="4" t="s">
        <v>594</v>
      </c>
      <c r="D143" s="4" t="s">
        <v>595</v>
      </c>
      <c r="E143" s="4" t="s">
        <v>596</v>
      </c>
      <c r="F143" s="4"/>
      <c r="G143" s="5" t="s">
        <v>16</v>
      </c>
      <c r="H143" s="5"/>
      <c r="I143" s="6"/>
      <c r="J143" s="3" t="s">
        <v>22</v>
      </c>
    </row>
    <row r="144" spans="1:10" ht="34.049999999999997" customHeight="1" x14ac:dyDescent="0.3">
      <c r="A144" s="3" t="s">
        <v>597</v>
      </c>
      <c r="B144" s="4" t="s">
        <v>589</v>
      </c>
      <c r="C144" s="4" t="s">
        <v>598</v>
      </c>
      <c r="D144" s="4" t="s">
        <v>599</v>
      </c>
      <c r="E144" s="4" t="s">
        <v>600</v>
      </c>
      <c r="F144" s="4"/>
      <c r="G144" s="5" t="s">
        <v>16</v>
      </c>
      <c r="H144" s="5"/>
      <c r="I144" s="6"/>
      <c r="J144" s="3" t="s">
        <v>47</v>
      </c>
    </row>
    <row r="145" spans="1:10" ht="34.049999999999997" customHeight="1" x14ac:dyDescent="0.3">
      <c r="A145" s="3" t="s">
        <v>601</v>
      </c>
      <c r="B145" s="4" t="s">
        <v>589</v>
      </c>
      <c r="C145" s="4" t="s">
        <v>602</v>
      </c>
      <c r="D145" s="4" t="s">
        <v>603</v>
      </c>
      <c r="E145" s="4" t="s">
        <v>604</v>
      </c>
      <c r="F145" s="4"/>
      <c r="G145" s="5" t="s">
        <v>16</v>
      </c>
      <c r="H145" s="5"/>
      <c r="I145" s="6"/>
      <c r="J145" s="3" t="s">
        <v>47</v>
      </c>
    </row>
    <row r="146" spans="1:10" ht="34.049999999999997" customHeight="1" x14ac:dyDescent="0.3">
      <c r="A146" s="3" t="s">
        <v>605</v>
      </c>
      <c r="B146" s="4" t="s">
        <v>589</v>
      </c>
      <c r="C146" s="4" t="s">
        <v>606</v>
      </c>
      <c r="D146" s="4" t="s">
        <v>607</v>
      </c>
      <c r="E146" s="4" t="s">
        <v>608</v>
      </c>
      <c r="F146" s="4"/>
      <c r="G146" s="5" t="s">
        <v>16</v>
      </c>
      <c r="H146" s="5"/>
      <c r="I146" s="6"/>
      <c r="J146" s="3" t="s">
        <v>22</v>
      </c>
    </row>
    <row r="147" spans="1:10" ht="48" customHeight="1" x14ac:dyDescent="0.3">
      <c r="A147" s="3" t="s">
        <v>609</v>
      </c>
      <c r="B147" s="4" t="s">
        <v>589</v>
      </c>
      <c r="C147" s="4" t="s">
        <v>610</v>
      </c>
      <c r="D147" s="4" t="s">
        <v>611</v>
      </c>
      <c r="E147" s="4" t="s">
        <v>612</v>
      </c>
      <c r="F147" s="4"/>
      <c r="G147" s="5" t="s">
        <v>16</v>
      </c>
      <c r="H147" s="5"/>
      <c r="I147" s="6"/>
      <c r="J147" s="3" t="s">
        <v>17</v>
      </c>
    </row>
    <row r="148" spans="1:10" ht="30" customHeight="1" x14ac:dyDescent="0.3">
      <c r="A148" s="3"/>
      <c r="B148" s="4"/>
      <c r="C148" s="4"/>
      <c r="D148" s="4"/>
      <c r="E148" s="4"/>
      <c r="F148" s="4"/>
      <c r="G148" s="5"/>
      <c r="H148" s="5"/>
      <c r="I148" s="6"/>
      <c r="J148" s="3" t="s">
        <v>22</v>
      </c>
    </row>
    <row r="149" spans="1:10" ht="34.049999999999997" customHeight="1" x14ac:dyDescent="0.3">
      <c r="A149" s="3"/>
      <c r="B149" s="4"/>
      <c r="C149" s="4"/>
      <c r="D149" s="4"/>
      <c r="E149" s="4"/>
      <c r="F149" s="4"/>
      <c r="G149" s="5"/>
      <c r="H149" s="5"/>
      <c r="I149" s="6"/>
      <c r="J149" s="3" t="s">
        <v>47</v>
      </c>
    </row>
    <row r="150" spans="1:10" ht="48" customHeight="1" x14ac:dyDescent="0.3">
      <c r="A150" s="3"/>
      <c r="B150" s="4"/>
      <c r="C150" s="4"/>
      <c r="D150" s="4"/>
      <c r="E150" s="4"/>
      <c r="F150" s="4"/>
      <c r="G150" s="5"/>
      <c r="H150" s="5"/>
      <c r="I150" s="6"/>
      <c r="J150" s="3" t="s">
        <v>22</v>
      </c>
    </row>
    <row r="151" spans="1:10" ht="30" customHeight="1" x14ac:dyDescent="0.3">
      <c r="A151" s="3"/>
      <c r="B151" s="4"/>
      <c r="C151" s="4"/>
      <c r="D151" s="4"/>
      <c r="E151" s="4"/>
      <c r="F151" s="4"/>
      <c r="G151" s="5"/>
      <c r="H151" s="5"/>
      <c r="I151" s="6"/>
      <c r="J151" s="3" t="s">
        <v>47</v>
      </c>
    </row>
    <row r="152" spans="1:10" ht="30" customHeight="1" x14ac:dyDescent="0.3">
      <c r="A152" s="3"/>
      <c r="B152" s="4"/>
      <c r="C152" s="4"/>
      <c r="D152" s="4"/>
      <c r="E152" s="4"/>
      <c r="F152" s="4"/>
      <c r="G152" s="5"/>
      <c r="H152" s="5"/>
      <c r="I152" s="6"/>
      <c r="J152" s="3" t="s">
        <v>47</v>
      </c>
    </row>
    <row r="153" spans="1:10" x14ac:dyDescent="0.3">
      <c r="A153" s="7"/>
      <c r="B153" s="7"/>
      <c r="C153" s="7"/>
      <c r="D153" s="7"/>
      <c r="E153" s="7"/>
      <c r="F153" s="7"/>
      <c r="G153" s="8"/>
      <c r="H153" s="8"/>
      <c r="I153" s="8"/>
      <c r="J153" s="7"/>
    </row>
    <row r="154" spans="1:10" x14ac:dyDescent="0.3">
      <c r="A154" s="7"/>
      <c r="B154" s="7"/>
      <c r="C154" s="7"/>
      <c r="D154" s="7"/>
      <c r="E154" s="7"/>
      <c r="F154" s="7"/>
      <c r="G154" s="8"/>
      <c r="H154" s="8"/>
      <c r="I154" s="8"/>
      <c r="J154" s="7"/>
    </row>
    <row r="155" spans="1:10" x14ac:dyDescent="0.3">
      <c r="A155" s="7"/>
      <c r="B155" s="7"/>
      <c r="C155" s="7"/>
      <c r="D155" s="7"/>
      <c r="E155" s="7"/>
      <c r="F155" s="7"/>
      <c r="G155" s="8"/>
      <c r="H155" s="8"/>
      <c r="I155" s="8"/>
      <c r="J155" s="7"/>
    </row>
    <row r="156" spans="1:10" x14ac:dyDescent="0.3">
      <c r="A156" s="7"/>
      <c r="B156" s="7"/>
      <c r="C156" s="7"/>
      <c r="D156" s="7"/>
      <c r="E156" s="7"/>
      <c r="F156" s="7"/>
      <c r="G156" s="8"/>
      <c r="H156" s="8"/>
      <c r="I156" s="8"/>
      <c r="J156" s="7"/>
    </row>
    <row r="157" spans="1:10" x14ac:dyDescent="0.3">
      <c r="A157" s="7"/>
      <c r="B157" s="7"/>
      <c r="C157" s="7"/>
      <c r="D157" s="7"/>
      <c r="E157" s="7"/>
      <c r="F157" s="7"/>
      <c r="G157" s="8"/>
      <c r="H157" s="8"/>
      <c r="I157" s="8"/>
      <c r="J157" s="7"/>
    </row>
    <row r="158" spans="1:10" x14ac:dyDescent="0.3">
      <c r="A158" s="7"/>
      <c r="B158" s="7"/>
      <c r="C158" s="7"/>
      <c r="D158" s="7"/>
      <c r="E158" s="7"/>
      <c r="F158" s="7"/>
      <c r="G158" s="8"/>
      <c r="H158" s="8"/>
      <c r="I158" s="8"/>
      <c r="J158" s="7"/>
    </row>
    <row r="159" spans="1:10" x14ac:dyDescent="0.3">
      <c r="A159" s="7"/>
      <c r="B159" s="7"/>
      <c r="C159" s="7"/>
      <c r="D159" s="7"/>
      <c r="E159" s="7"/>
      <c r="F159" s="7"/>
      <c r="G159" s="8"/>
      <c r="H159" s="8"/>
      <c r="I159" s="8"/>
      <c r="J159" s="7"/>
    </row>
    <row r="160" spans="1:10" x14ac:dyDescent="0.3">
      <c r="A160" s="7"/>
      <c r="B160" s="7"/>
      <c r="C160" s="7"/>
      <c r="D160" s="7"/>
      <c r="E160" s="7"/>
      <c r="F160" s="7"/>
      <c r="G160" s="8"/>
      <c r="H160" s="8"/>
      <c r="I160" s="8"/>
      <c r="J160" s="7"/>
    </row>
    <row r="161" spans="1:10" x14ac:dyDescent="0.3">
      <c r="A161" s="7"/>
      <c r="B161" s="7"/>
      <c r="C161" s="7"/>
      <c r="D161" s="7"/>
      <c r="E161" s="7"/>
      <c r="F161" s="7"/>
      <c r="G161" s="8"/>
      <c r="H161" s="8"/>
      <c r="I161" s="8"/>
      <c r="J161" s="7"/>
    </row>
    <row r="162" spans="1:10" x14ac:dyDescent="0.3">
      <c r="A162" s="7"/>
      <c r="B162" s="7"/>
      <c r="C162" s="7"/>
      <c r="D162" s="7"/>
      <c r="E162" s="7"/>
      <c r="F162" s="7"/>
      <c r="G162" s="8"/>
      <c r="H162" s="8"/>
      <c r="I162" s="8"/>
      <c r="J162" s="7"/>
    </row>
    <row r="163" spans="1:10" x14ac:dyDescent="0.3">
      <c r="A163" s="7"/>
      <c r="B163" s="7"/>
      <c r="C163" s="7"/>
      <c r="D163" s="7"/>
      <c r="E163" s="7"/>
      <c r="F163" s="7"/>
      <c r="G163" s="8"/>
      <c r="H163" s="8"/>
      <c r="I163" s="8"/>
      <c r="J163" s="7"/>
    </row>
    <row r="164" spans="1:10" x14ac:dyDescent="0.3">
      <c r="A164" s="7"/>
      <c r="B164" s="7"/>
      <c r="C164" s="7"/>
      <c r="D164" s="7"/>
      <c r="E164" s="7"/>
      <c r="F164" s="7"/>
      <c r="G164" s="8"/>
      <c r="H164" s="8"/>
      <c r="I164" s="8"/>
      <c r="J164" s="7"/>
    </row>
    <row r="165" spans="1:10" x14ac:dyDescent="0.3">
      <c r="A165" s="7"/>
      <c r="B165" s="7"/>
      <c r="C165" s="7"/>
      <c r="D165" s="7"/>
      <c r="E165" s="7"/>
      <c r="F165" s="7"/>
      <c r="G165" s="8"/>
      <c r="H165" s="8"/>
      <c r="I165" s="8"/>
      <c r="J165" s="7"/>
    </row>
    <row r="166" spans="1:10" x14ac:dyDescent="0.3">
      <c r="A166" s="7"/>
      <c r="B166" s="7"/>
      <c r="C166" s="7"/>
      <c r="D166" s="7"/>
      <c r="E166" s="7"/>
      <c r="F166" s="7"/>
      <c r="G166" s="8"/>
      <c r="H166" s="8"/>
      <c r="I166" s="8"/>
      <c r="J166" s="7"/>
    </row>
    <row r="167" spans="1:10" x14ac:dyDescent="0.3">
      <c r="A167" s="7"/>
      <c r="B167" s="7"/>
      <c r="C167" s="7"/>
      <c r="D167" s="7"/>
      <c r="E167" s="7"/>
      <c r="F167" s="7"/>
      <c r="G167" s="8"/>
      <c r="H167" s="8"/>
      <c r="I167" s="8"/>
      <c r="J167" s="7"/>
    </row>
    <row r="168" spans="1:10" x14ac:dyDescent="0.3">
      <c r="A168" s="7"/>
      <c r="B168" s="7"/>
      <c r="C168" s="7"/>
      <c r="D168" s="7"/>
      <c r="E168" s="7"/>
      <c r="F168" s="7"/>
      <c r="G168" s="8"/>
      <c r="H168" s="8"/>
      <c r="I168" s="8"/>
      <c r="J168" s="7"/>
    </row>
    <row r="169" spans="1:10" x14ac:dyDescent="0.3">
      <c r="A169" s="7"/>
      <c r="B169" s="7"/>
      <c r="C169" s="7"/>
      <c r="D169" s="7"/>
      <c r="E169" s="7"/>
      <c r="F169" s="7"/>
      <c r="G169" s="8"/>
      <c r="H169" s="8"/>
      <c r="I169" s="8"/>
      <c r="J169" s="7"/>
    </row>
    <row r="170" spans="1:10" x14ac:dyDescent="0.3">
      <c r="A170" s="7"/>
      <c r="B170" s="7"/>
      <c r="C170" s="7"/>
      <c r="D170" s="7"/>
      <c r="E170" s="7"/>
      <c r="F170" s="7"/>
      <c r="G170" s="8"/>
      <c r="H170" s="8"/>
      <c r="I170" s="8"/>
      <c r="J170" s="7"/>
    </row>
    <row r="171" spans="1:10" x14ac:dyDescent="0.3">
      <c r="A171" s="7"/>
      <c r="B171" s="7"/>
      <c r="C171" s="7"/>
      <c r="D171" s="7"/>
      <c r="E171" s="7"/>
      <c r="F171" s="7"/>
      <c r="G171" s="8"/>
      <c r="H171" s="8"/>
      <c r="I171" s="8"/>
      <c r="J171" s="7"/>
    </row>
    <row r="172" spans="1:10" x14ac:dyDescent="0.3">
      <c r="A172" s="7"/>
      <c r="B172" s="7"/>
      <c r="C172" s="7"/>
      <c r="D172" s="7"/>
      <c r="E172" s="7"/>
      <c r="F172" s="7"/>
      <c r="G172" s="8"/>
      <c r="H172" s="8"/>
      <c r="I172" s="8"/>
      <c r="J172" s="7"/>
    </row>
    <row r="173" spans="1:10" x14ac:dyDescent="0.3">
      <c r="A173" s="7"/>
      <c r="B173" s="7"/>
      <c r="C173" s="7"/>
      <c r="D173" s="7"/>
      <c r="E173" s="7"/>
      <c r="F173" s="7"/>
      <c r="G173" s="8"/>
      <c r="H173" s="8"/>
      <c r="I173" s="8"/>
      <c r="J173" s="7"/>
    </row>
    <row r="174" spans="1:10" x14ac:dyDescent="0.3">
      <c r="A174" s="7"/>
      <c r="B174" s="7"/>
      <c r="C174" s="7"/>
      <c r="D174" s="7"/>
      <c r="E174" s="7"/>
      <c r="F174" s="7"/>
      <c r="G174" s="8"/>
      <c r="H174" s="8"/>
      <c r="I174" s="8"/>
      <c r="J174" s="7"/>
    </row>
    <row r="175" spans="1:10" x14ac:dyDescent="0.3">
      <c r="A175" s="7"/>
      <c r="B175" s="7"/>
      <c r="C175" s="7"/>
      <c r="D175" s="7"/>
      <c r="E175" s="7"/>
      <c r="F175" s="7"/>
      <c r="G175" s="8"/>
      <c r="H175" s="8"/>
      <c r="I175" s="8"/>
      <c r="J175" s="7"/>
    </row>
    <row r="176" spans="1:10" x14ac:dyDescent="0.3">
      <c r="A176" s="7"/>
      <c r="B176" s="7"/>
      <c r="C176" s="7"/>
      <c r="D176" s="7"/>
      <c r="E176" s="7"/>
      <c r="F176" s="7"/>
      <c r="G176" s="8"/>
      <c r="H176" s="8"/>
      <c r="I176" s="8"/>
      <c r="J176" s="7"/>
    </row>
    <row r="177" spans="1:10" x14ac:dyDescent="0.3">
      <c r="A177" s="7"/>
      <c r="B177" s="7"/>
      <c r="C177" s="7"/>
      <c r="D177" s="7"/>
      <c r="E177" s="7"/>
      <c r="F177" s="7"/>
      <c r="G177" s="8"/>
      <c r="H177" s="8"/>
      <c r="I177" s="8"/>
      <c r="J177" s="7"/>
    </row>
    <row r="178" spans="1:10" x14ac:dyDescent="0.3">
      <c r="A178" s="7"/>
      <c r="B178" s="7"/>
      <c r="C178" s="7"/>
      <c r="D178" s="7"/>
      <c r="E178" s="7"/>
      <c r="F178" s="7"/>
      <c r="G178" s="8"/>
      <c r="H178" s="8"/>
      <c r="I178" s="8"/>
      <c r="J178" s="7"/>
    </row>
    <row r="179" spans="1:10" x14ac:dyDescent="0.3">
      <c r="A179" s="7"/>
      <c r="B179" s="7"/>
      <c r="C179" s="7"/>
      <c r="D179" s="7"/>
      <c r="E179" s="7"/>
      <c r="F179" s="7"/>
      <c r="G179" s="8"/>
      <c r="H179" s="8"/>
      <c r="I179" s="8"/>
      <c r="J179" s="7"/>
    </row>
    <row r="180" spans="1:10" x14ac:dyDescent="0.3">
      <c r="A180" s="7"/>
      <c r="B180" s="7"/>
      <c r="C180" s="7"/>
      <c r="D180" s="7"/>
      <c r="E180" s="7"/>
      <c r="F180" s="7"/>
      <c r="G180" s="8"/>
      <c r="H180" s="8"/>
      <c r="I180" s="8"/>
      <c r="J180" s="7"/>
    </row>
    <row r="181" spans="1:10" x14ac:dyDescent="0.3">
      <c r="A181" s="7"/>
      <c r="B181" s="7"/>
      <c r="C181" s="7"/>
      <c r="D181" s="7"/>
      <c r="E181" s="7"/>
      <c r="F181" s="7"/>
      <c r="G181" s="8"/>
      <c r="H181" s="8"/>
      <c r="I181" s="8"/>
      <c r="J181" s="7"/>
    </row>
    <row r="182" spans="1:10" x14ac:dyDescent="0.3">
      <c r="A182" s="7"/>
      <c r="B182" s="7"/>
      <c r="C182" s="7"/>
      <c r="D182" s="7"/>
      <c r="E182" s="7"/>
      <c r="F182" s="7"/>
      <c r="G182" s="8"/>
      <c r="H182" s="8"/>
      <c r="I182" s="8"/>
      <c r="J182" s="7"/>
    </row>
  </sheetData>
  <autoFilter ref="A2:J152" xr:uid="{00000000-0009-0000-0000-000000000000}"/>
  <mergeCells count="1">
    <mergeCell ref="A1:J1"/>
  </mergeCells>
  <conditionalFormatting sqref="G3:G182">
    <cfRule type="expression" dxfId="8" priority="1">
      <formula>$G3="Pass"</formula>
    </cfRule>
    <cfRule type="expression" dxfId="7" priority="2">
      <formula>$G3="Fail"</formula>
    </cfRule>
    <cfRule type="expression" dxfId="6" priority="3">
      <formula>$G3="In Progress"</formula>
    </cfRule>
    <cfRule type="expression" dxfId="5" priority="4">
      <formula>$G3="Blocked"</formula>
    </cfRule>
    <cfRule type="expression" dxfId="4" priority="5">
      <formula>$G3="Not Applicable"</formula>
    </cfRule>
  </conditionalFormatting>
  <conditionalFormatting sqref="A3:F182">
    <cfRule type="expression" dxfId="3" priority="6">
      <formula>$G3="Fail"</formula>
    </cfRule>
  </conditionalFormatting>
  <conditionalFormatting sqref="J3:J182">
    <cfRule type="expression" dxfId="2" priority="7">
      <formula>$J3="Important"</formula>
    </cfRule>
    <cfRule type="expression" dxfId="1" priority="8">
      <formula>$J3="Medium"</formula>
    </cfRule>
    <cfRule type="expression" dxfId="0" priority="9">
      <formula>$J3="Low"</formula>
    </cfRule>
  </conditionalFormatting>
  <dataValidations count="3">
    <dataValidation type="list" allowBlank="1" sqref="G3:G182" xr:uid="{00000000-0002-0000-0000-000000000000}">
      <formula1>"Not Started,In Progress,Pass,Fail,Blocked,Not Applicable"</formula1>
    </dataValidation>
    <dataValidation type="list" allowBlank="1" sqref="H3:H182" xr:uid="{00000000-0002-0000-0000-000001000000}">
      <formula1>"Sazzad"</formula1>
    </dataValidation>
    <dataValidation type="list" allowBlank="1" sqref="J3:J182" xr:uid="{00000000-0002-0000-0000-000002000000}">
      <formula1>"Important,Medium,Low"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0" customWidth="1"/>
    <col min="2" max="8" width="13" customWidth="1"/>
  </cols>
  <sheetData>
    <row r="1" spans="1:8" ht="28.05" customHeight="1" x14ac:dyDescent="0.3">
      <c r="A1" s="20" t="s">
        <v>614</v>
      </c>
      <c r="B1" s="19"/>
      <c r="C1" s="19"/>
      <c r="D1" s="19"/>
      <c r="E1" s="19"/>
      <c r="F1" s="19"/>
      <c r="G1" s="19"/>
      <c r="H1" s="19"/>
    </row>
    <row r="3" spans="1:8" x14ac:dyDescent="0.3">
      <c r="A3" s="9" t="s">
        <v>615</v>
      </c>
      <c r="B3" s="9" t="s">
        <v>616</v>
      </c>
    </row>
    <row r="4" spans="1:8" x14ac:dyDescent="0.3">
      <c r="A4" s="10" t="s">
        <v>617</v>
      </c>
      <c r="B4" s="11">
        <f>COUNTA('Test Cases'!$A$3:$A$182)</f>
        <v>145</v>
      </c>
    </row>
    <row r="5" spans="1:8" x14ac:dyDescent="0.3">
      <c r="A5" s="12" t="s">
        <v>16</v>
      </c>
      <c r="B5" s="13">
        <f>COUNTIF('Test Cases'!$G$3:$G$182,"Not Started")</f>
        <v>143</v>
      </c>
    </row>
    <row r="6" spans="1:8" x14ac:dyDescent="0.3">
      <c r="A6" s="12" t="s">
        <v>618</v>
      </c>
      <c r="B6" s="13">
        <f>COUNTIF('Test Cases'!$G$3:$G$182,"In Progress")</f>
        <v>0</v>
      </c>
    </row>
    <row r="7" spans="1:8" x14ac:dyDescent="0.3">
      <c r="A7" s="12" t="s">
        <v>619</v>
      </c>
      <c r="B7" s="13">
        <f>COUNTIF('Test Cases'!$G$3:$G$182,"Pass")</f>
        <v>2</v>
      </c>
    </row>
    <row r="8" spans="1:8" x14ac:dyDescent="0.3">
      <c r="A8" s="12" t="s">
        <v>620</v>
      </c>
      <c r="B8" s="13">
        <f>COUNTIF('Test Cases'!$G$3:$G$182,"Fail")</f>
        <v>0</v>
      </c>
    </row>
    <row r="9" spans="1:8" x14ac:dyDescent="0.3">
      <c r="A9" s="12" t="s">
        <v>621</v>
      </c>
      <c r="B9" s="13">
        <f>COUNTIF('Test Cases'!$G$3:$G$182,"Blocked")</f>
        <v>0</v>
      </c>
    </row>
    <row r="10" spans="1:8" x14ac:dyDescent="0.3">
      <c r="A10" s="12" t="s">
        <v>622</v>
      </c>
      <c r="B10" s="13">
        <f>COUNTIF('Test Cases'!$G$3:$G$182,"Not Applicable")</f>
        <v>0</v>
      </c>
    </row>
    <row r="11" spans="1:8" x14ac:dyDescent="0.3">
      <c r="A11" s="14" t="s">
        <v>623</v>
      </c>
      <c r="B11" s="15">
        <f>IFERROR(B7/(B7+B8+B9),0)</f>
        <v>1</v>
      </c>
    </row>
    <row r="13" spans="1:8" x14ac:dyDescent="0.3">
      <c r="A13" s="9" t="s">
        <v>10</v>
      </c>
      <c r="B13" s="9" t="s">
        <v>624</v>
      </c>
      <c r="C13" s="9" t="s">
        <v>619</v>
      </c>
      <c r="D13" s="9" t="s">
        <v>620</v>
      </c>
      <c r="E13" s="9" t="s">
        <v>618</v>
      </c>
      <c r="F13" s="9" t="s">
        <v>16</v>
      </c>
      <c r="G13" s="9" t="s">
        <v>621</v>
      </c>
    </row>
    <row r="14" spans="1:8" x14ac:dyDescent="0.3">
      <c r="A14" s="12" t="s">
        <v>17</v>
      </c>
      <c r="B14" s="13">
        <f>COUNTIF('Test Cases'!$J$3:$J$182,$A14)</f>
        <v>41</v>
      </c>
      <c r="C14" s="13">
        <f>COUNTIFS('Test Cases'!$J$3:$J$182,$A14,'Test Cases'!$G$3:$G$182,"Pass")</f>
        <v>1</v>
      </c>
      <c r="D14" s="13">
        <f>COUNTIFS('Test Cases'!$J$3:$J$182,$A14,'Test Cases'!$G$3:$G$182,"Fail")</f>
        <v>0</v>
      </c>
      <c r="E14" s="13">
        <f>COUNTIFS('Test Cases'!$J$3:$J$182,$A14,'Test Cases'!$G$3:$G$182,"In Progress")</f>
        <v>0</v>
      </c>
      <c r="F14" s="13">
        <f>COUNTIFS('Test Cases'!$J$3:$J$182,$A14,'Test Cases'!$G$3:$G$182,"Not Started")</f>
        <v>40</v>
      </c>
      <c r="G14" s="13">
        <f>COUNTIFS('Test Cases'!$J$3:$J$182,$A14,'Test Cases'!$G$3:$G$182,"Blocked")</f>
        <v>0</v>
      </c>
    </row>
    <row r="15" spans="1:8" x14ac:dyDescent="0.3">
      <c r="A15" s="12" t="s">
        <v>22</v>
      </c>
      <c r="B15" s="13">
        <f>COUNTIF('Test Cases'!$J$3:$J$182,$A15)</f>
        <v>70</v>
      </c>
      <c r="C15" s="13">
        <f>COUNTIFS('Test Cases'!$J$3:$J$182,$A15,'Test Cases'!$G$3:$G$182,"Pass")</f>
        <v>1</v>
      </c>
      <c r="D15" s="13">
        <f>COUNTIFS('Test Cases'!$J$3:$J$182,$A15,'Test Cases'!$G$3:$G$182,"Fail")</f>
        <v>0</v>
      </c>
      <c r="E15" s="13">
        <f>COUNTIFS('Test Cases'!$J$3:$J$182,$A15,'Test Cases'!$G$3:$G$182,"In Progress")</f>
        <v>0</v>
      </c>
      <c r="F15" s="13">
        <f>COUNTIFS('Test Cases'!$J$3:$J$182,$A15,'Test Cases'!$G$3:$G$182,"Not Started")</f>
        <v>67</v>
      </c>
      <c r="G15" s="13">
        <f>COUNTIFS('Test Cases'!$J$3:$J$182,$A15,'Test Cases'!$G$3:$G$182,"Blocked")</f>
        <v>0</v>
      </c>
    </row>
    <row r="16" spans="1:8" x14ac:dyDescent="0.3">
      <c r="A16" s="12" t="s">
        <v>47</v>
      </c>
      <c r="B16" s="13">
        <f>COUNTIF('Test Cases'!$J$3:$J$182,$A16)</f>
        <v>39</v>
      </c>
      <c r="C16" s="13">
        <f>COUNTIFS('Test Cases'!$J$3:$J$182,$A16,'Test Cases'!$G$3:$G$182,"Pass")</f>
        <v>0</v>
      </c>
      <c r="D16" s="13">
        <f>COUNTIFS('Test Cases'!$J$3:$J$182,$A16,'Test Cases'!$G$3:$G$182,"Fail")</f>
        <v>0</v>
      </c>
      <c r="E16" s="13">
        <f>COUNTIFS('Test Cases'!$J$3:$J$182,$A16,'Test Cases'!$G$3:$G$182,"In Progress")</f>
        <v>0</v>
      </c>
      <c r="F16" s="13">
        <f>COUNTIFS('Test Cases'!$J$3:$J$182,$A16,'Test Cases'!$G$3:$G$182,"Not Started")</f>
        <v>36</v>
      </c>
      <c r="G16" s="13">
        <f>COUNTIFS('Test Cases'!$J$3:$J$182,$A16,'Test Cases'!$G$3:$G$182,"Blocked")</f>
        <v>0</v>
      </c>
    </row>
    <row r="19" spans="1:8" x14ac:dyDescent="0.3">
      <c r="A19" s="9" t="s">
        <v>2</v>
      </c>
      <c r="B19" s="9" t="s">
        <v>624</v>
      </c>
      <c r="C19" s="9" t="s">
        <v>619</v>
      </c>
      <c r="D19" s="9" t="s">
        <v>620</v>
      </c>
      <c r="E19" s="9" t="s">
        <v>618</v>
      </c>
      <c r="F19" s="9" t="s">
        <v>16</v>
      </c>
      <c r="G19" s="9" t="s">
        <v>621</v>
      </c>
      <c r="H19" s="9" t="s">
        <v>17</v>
      </c>
    </row>
    <row r="20" spans="1:8" x14ac:dyDescent="0.3">
      <c r="A20" s="12" t="s">
        <v>12</v>
      </c>
      <c r="B20" s="13">
        <f>COUNTIF('Test Cases'!$B$3:$B$182,$A20)</f>
        <v>8</v>
      </c>
      <c r="C20" s="13">
        <f>COUNTIFS('Test Cases'!$B$3:$B$182,$A20,'Test Cases'!$G$3:$G$182,"Pass")</f>
        <v>2</v>
      </c>
      <c r="D20" s="13">
        <f>COUNTIFS('Test Cases'!$B$3:$B$182,$A20,'Test Cases'!$G$3:$G$182,"Fail")</f>
        <v>0</v>
      </c>
      <c r="E20" s="13">
        <f>COUNTIFS('Test Cases'!$B$3:$B$182,$A20,'Test Cases'!$G$3:$G$182,"In Progress")</f>
        <v>0</v>
      </c>
      <c r="F20" s="13">
        <f>COUNTIFS('Test Cases'!$B$3:$B$182,$A20,'Test Cases'!$G$3:$G$182,"Not Started")</f>
        <v>6</v>
      </c>
      <c r="G20" s="13">
        <f>COUNTIFS('Test Cases'!$B$3:$B$182,$A20,'Test Cases'!$G$3:$G$182,"Blocked")</f>
        <v>0</v>
      </c>
      <c r="H20" s="13">
        <f>COUNTIFS('Test Cases'!$B$3:$B$182,$A20,'Test Cases'!$J$3:$J$182,"Important")</f>
        <v>4</v>
      </c>
    </row>
    <row r="21" spans="1:8" x14ac:dyDescent="0.3">
      <c r="A21" s="12" t="s">
        <v>49</v>
      </c>
      <c r="B21" s="13">
        <f>COUNTIF('Test Cases'!$B$3:$B$182,$A21)</f>
        <v>4</v>
      </c>
      <c r="C21" s="13">
        <f>COUNTIFS('Test Cases'!$B$3:$B$182,$A21,'Test Cases'!$G$3:$G$182,"Pass")</f>
        <v>0</v>
      </c>
      <c r="D21" s="13">
        <f>COUNTIFS('Test Cases'!$B$3:$B$182,$A21,'Test Cases'!$G$3:$G$182,"Fail")</f>
        <v>0</v>
      </c>
      <c r="E21" s="13">
        <f>COUNTIFS('Test Cases'!$B$3:$B$182,$A21,'Test Cases'!$G$3:$G$182,"In Progress")</f>
        <v>0</v>
      </c>
      <c r="F21" s="13">
        <f>COUNTIFS('Test Cases'!$B$3:$B$182,$A21,'Test Cases'!$G$3:$G$182,"Not Started")</f>
        <v>4</v>
      </c>
      <c r="G21" s="13">
        <f>COUNTIFS('Test Cases'!$B$3:$B$182,$A21,'Test Cases'!$G$3:$G$182,"Blocked")</f>
        <v>0</v>
      </c>
      <c r="H21" s="13">
        <f>COUNTIFS('Test Cases'!$B$3:$B$182,$A21,'Test Cases'!$J$3:$J$182,"Important")</f>
        <v>2</v>
      </c>
    </row>
    <row r="22" spans="1:8" x14ac:dyDescent="0.3">
      <c r="A22" s="12" t="s">
        <v>66</v>
      </c>
      <c r="B22" s="13">
        <f>COUNTIF('Test Cases'!$B$3:$B$182,$A22)</f>
        <v>4</v>
      </c>
      <c r="C22" s="13">
        <f>COUNTIFS('Test Cases'!$B$3:$B$182,$A22,'Test Cases'!$G$3:$G$182,"Pass")</f>
        <v>0</v>
      </c>
      <c r="D22" s="13">
        <f>COUNTIFS('Test Cases'!$B$3:$B$182,$A22,'Test Cases'!$G$3:$G$182,"Fail")</f>
        <v>0</v>
      </c>
      <c r="E22" s="13">
        <f>COUNTIFS('Test Cases'!$B$3:$B$182,$A22,'Test Cases'!$G$3:$G$182,"In Progress")</f>
        <v>0</v>
      </c>
      <c r="F22" s="13">
        <f>COUNTIFS('Test Cases'!$B$3:$B$182,$A22,'Test Cases'!$G$3:$G$182,"Not Started")</f>
        <v>4</v>
      </c>
      <c r="G22" s="13">
        <f>COUNTIFS('Test Cases'!$B$3:$B$182,$A22,'Test Cases'!$G$3:$G$182,"Blocked")</f>
        <v>0</v>
      </c>
      <c r="H22" s="13">
        <f>COUNTIFS('Test Cases'!$B$3:$B$182,$A22,'Test Cases'!$J$3:$J$182,"Important")</f>
        <v>0</v>
      </c>
    </row>
    <row r="23" spans="1:8" x14ac:dyDescent="0.3">
      <c r="A23" s="12" t="s">
        <v>83</v>
      </c>
      <c r="B23" s="13">
        <f>COUNTIF('Test Cases'!$B$3:$B$182,$A23)</f>
        <v>4</v>
      </c>
      <c r="C23" s="13">
        <f>COUNTIFS('Test Cases'!$B$3:$B$182,$A23,'Test Cases'!$G$3:$G$182,"Pass")</f>
        <v>0</v>
      </c>
      <c r="D23" s="13">
        <f>COUNTIFS('Test Cases'!$B$3:$B$182,$A23,'Test Cases'!$G$3:$G$182,"Fail")</f>
        <v>0</v>
      </c>
      <c r="E23" s="13">
        <f>COUNTIFS('Test Cases'!$B$3:$B$182,$A23,'Test Cases'!$G$3:$G$182,"In Progress")</f>
        <v>0</v>
      </c>
      <c r="F23" s="13">
        <f>COUNTIFS('Test Cases'!$B$3:$B$182,$A23,'Test Cases'!$G$3:$G$182,"Not Started")</f>
        <v>4</v>
      </c>
      <c r="G23" s="13">
        <f>COUNTIFS('Test Cases'!$B$3:$B$182,$A23,'Test Cases'!$G$3:$G$182,"Blocked")</f>
        <v>0</v>
      </c>
      <c r="H23" s="13">
        <f>COUNTIFS('Test Cases'!$B$3:$B$182,$A23,'Test Cases'!$J$3:$J$182,"Important")</f>
        <v>2</v>
      </c>
    </row>
    <row r="24" spans="1:8" x14ac:dyDescent="0.3">
      <c r="A24" s="12" t="s">
        <v>100</v>
      </c>
      <c r="B24" s="13">
        <f>COUNTIF('Test Cases'!$B$3:$B$182,$A24)</f>
        <v>13</v>
      </c>
      <c r="C24" s="13">
        <f>COUNTIFS('Test Cases'!$B$3:$B$182,$A24,'Test Cases'!$G$3:$G$182,"Pass")</f>
        <v>0</v>
      </c>
      <c r="D24" s="13">
        <f>COUNTIFS('Test Cases'!$B$3:$B$182,$A24,'Test Cases'!$G$3:$G$182,"Fail")</f>
        <v>0</v>
      </c>
      <c r="E24" s="13">
        <f>COUNTIFS('Test Cases'!$B$3:$B$182,$A24,'Test Cases'!$G$3:$G$182,"In Progress")</f>
        <v>0</v>
      </c>
      <c r="F24" s="13">
        <f>COUNTIFS('Test Cases'!$B$3:$B$182,$A24,'Test Cases'!$G$3:$G$182,"Not Started")</f>
        <v>13</v>
      </c>
      <c r="G24" s="13">
        <f>COUNTIFS('Test Cases'!$B$3:$B$182,$A24,'Test Cases'!$G$3:$G$182,"Blocked")</f>
        <v>0</v>
      </c>
      <c r="H24" s="13">
        <f>COUNTIFS('Test Cases'!$B$3:$B$182,$A24,'Test Cases'!$J$3:$J$182,"Important")</f>
        <v>4</v>
      </c>
    </row>
    <row r="25" spans="1:8" x14ac:dyDescent="0.3">
      <c r="A25" s="12" t="s">
        <v>153</v>
      </c>
      <c r="B25" s="13">
        <f>COUNTIF('Test Cases'!$B$3:$B$182,$A25)</f>
        <v>4</v>
      </c>
      <c r="C25" s="13">
        <f>COUNTIFS('Test Cases'!$B$3:$B$182,$A25,'Test Cases'!$G$3:$G$182,"Pass")</f>
        <v>0</v>
      </c>
      <c r="D25" s="13">
        <f>COUNTIFS('Test Cases'!$B$3:$B$182,$A25,'Test Cases'!$G$3:$G$182,"Fail")</f>
        <v>0</v>
      </c>
      <c r="E25" s="13">
        <f>COUNTIFS('Test Cases'!$B$3:$B$182,$A25,'Test Cases'!$G$3:$G$182,"In Progress")</f>
        <v>0</v>
      </c>
      <c r="F25" s="13">
        <f>COUNTIFS('Test Cases'!$B$3:$B$182,$A25,'Test Cases'!$G$3:$G$182,"Not Started")</f>
        <v>4</v>
      </c>
      <c r="G25" s="13">
        <f>COUNTIFS('Test Cases'!$B$3:$B$182,$A25,'Test Cases'!$G$3:$G$182,"Blocked")</f>
        <v>0</v>
      </c>
      <c r="H25" s="13">
        <f>COUNTIFS('Test Cases'!$B$3:$B$182,$A25,'Test Cases'!$J$3:$J$182,"Important")</f>
        <v>2</v>
      </c>
    </row>
    <row r="26" spans="1:8" x14ac:dyDescent="0.3">
      <c r="A26" s="12" t="s">
        <v>170</v>
      </c>
      <c r="B26" s="13">
        <f>COUNTIF('Test Cases'!$B$3:$B$182,$A26)</f>
        <v>5</v>
      </c>
      <c r="C26" s="13">
        <f>COUNTIFS('Test Cases'!$B$3:$B$182,$A26,'Test Cases'!$G$3:$G$182,"Pass")</f>
        <v>0</v>
      </c>
      <c r="D26" s="13">
        <f>COUNTIFS('Test Cases'!$B$3:$B$182,$A26,'Test Cases'!$G$3:$G$182,"Fail")</f>
        <v>0</v>
      </c>
      <c r="E26" s="13">
        <f>COUNTIFS('Test Cases'!$B$3:$B$182,$A26,'Test Cases'!$G$3:$G$182,"In Progress")</f>
        <v>0</v>
      </c>
      <c r="F26" s="13">
        <f>COUNTIFS('Test Cases'!$B$3:$B$182,$A26,'Test Cases'!$G$3:$G$182,"Not Started")</f>
        <v>5</v>
      </c>
      <c r="G26" s="13">
        <f>COUNTIFS('Test Cases'!$B$3:$B$182,$A26,'Test Cases'!$G$3:$G$182,"Blocked")</f>
        <v>0</v>
      </c>
      <c r="H26" s="13">
        <f>COUNTIFS('Test Cases'!$B$3:$B$182,$A26,'Test Cases'!$J$3:$J$182,"Important")</f>
        <v>1</v>
      </c>
    </row>
    <row r="27" spans="1:8" x14ac:dyDescent="0.3">
      <c r="A27" s="12" t="s">
        <v>191</v>
      </c>
      <c r="B27" s="13">
        <f>COUNTIF('Test Cases'!$B$3:$B$182,$A27)</f>
        <v>14</v>
      </c>
      <c r="C27" s="13">
        <f>COUNTIFS('Test Cases'!$B$3:$B$182,$A27,'Test Cases'!$G$3:$G$182,"Pass")</f>
        <v>0</v>
      </c>
      <c r="D27" s="13">
        <f>COUNTIFS('Test Cases'!$B$3:$B$182,$A27,'Test Cases'!$G$3:$G$182,"Fail")</f>
        <v>0</v>
      </c>
      <c r="E27" s="13">
        <f>COUNTIFS('Test Cases'!$B$3:$B$182,$A27,'Test Cases'!$G$3:$G$182,"In Progress")</f>
        <v>0</v>
      </c>
      <c r="F27" s="13">
        <f>COUNTIFS('Test Cases'!$B$3:$B$182,$A27,'Test Cases'!$G$3:$G$182,"Not Started")</f>
        <v>14</v>
      </c>
      <c r="G27" s="13">
        <f>COUNTIFS('Test Cases'!$B$3:$B$182,$A27,'Test Cases'!$G$3:$G$182,"Blocked")</f>
        <v>0</v>
      </c>
      <c r="H27" s="13">
        <f>COUNTIFS('Test Cases'!$B$3:$B$182,$A27,'Test Cases'!$J$3:$J$182,"Important")</f>
        <v>2</v>
      </c>
    </row>
    <row r="28" spans="1:8" x14ac:dyDescent="0.3">
      <c r="A28" s="12" t="s">
        <v>248</v>
      </c>
      <c r="B28" s="13">
        <f>COUNTIF('Test Cases'!$B$3:$B$182,$A28)</f>
        <v>13</v>
      </c>
      <c r="C28" s="13">
        <f>COUNTIFS('Test Cases'!$B$3:$B$182,$A28,'Test Cases'!$G$3:$G$182,"Pass")</f>
        <v>0</v>
      </c>
      <c r="D28" s="13">
        <f>COUNTIFS('Test Cases'!$B$3:$B$182,$A28,'Test Cases'!$G$3:$G$182,"Fail")</f>
        <v>0</v>
      </c>
      <c r="E28" s="13">
        <f>COUNTIFS('Test Cases'!$B$3:$B$182,$A28,'Test Cases'!$G$3:$G$182,"In Progress")</f>
        <v>0</v>
      </c>
      <c r="F28" s="13">
        <f>COUNTIFS('Test Cases'!$B$3:$B$182,$A28,'Test Cases'!$G$3:$G$182,"Not Started")</f>
        <v>13</v>
      </c>
      <c r="G28" s="13">
        <f>COUNTIFS('Test Cases'!$B$3:$B$182,$A28,'Test Cases'!$G$3:$G$182,"Blocked")</f>
        <v>0</v>
      </c>
      <c r="H28" s="13">
        <f>COUNTIFS('Test Cases'!$B$3:$B$182,$A28,'Test Cases'!$J$3:$J$182,"Important")</f>
        <v>3</v>
      </c>
    </row>
    <row r="29" spans="1:8" x14ac:dyDescent="0.3">
      <c r="A29" s="12" t="s">
        <v>301</v>
      </c>
      <c r="B29" s="13">
        <f>COUNTIF('Test Cases'!$B$3:$B$182,$A29)</f>
        <v>11</v>
      </c>
      <c r="C29" s="13">
        <f>COUNTIFS('Test Cases'!$B$3:$B$182,$A29,'Test Cases'!$G$3:$G$182,"Pass")</f>
        <v>0</v>
      </c>
      <c r="D29" s="13">
        <f>COUNTIFS('Test Cases'!$B$3:$B$182,$A29,'Test Cases'!$G$3:$G$182,"Fail")</f>
        <v>0</v>
      </c>
      <c r="E29" s="13">
        <f>COUNTIFS('Test Cases'!$B$3:$B$182,$A29,'Test Cases'!$G$3:$G$182,"In Progress")</f>
        <v>0</v>
      </c>
      <c r="F29" s="13">
        <f>COUNTIFS('Test Cases'!$B$3:$B$182,$A29,'Test Cases'!$G$3:$G$182,"Not Started")</f>
        <v>11</v>
      </c>
      <c r="G29" s="13">
        <f>COUNTIFS('Test Cases'!$B$3:$B$182,$A29,'Test Cases'!$G$3:$G$182,"Blocked")</f>
        <v>0</v>
      </c>
      <c r="H29" s="13">
        <f>COUNTIFS('Test Cases'!$B$3:$B$182,$A29,'Test Cases'!$J$3:$J$182,"Important")</f>
        <v>4</v>
      </c>
    </row>
    <row r="30" spans="1:8" x14ac:dyDescent="0.3">
      <c r="A30" s="12" t="s">
        <v>346</v>
      </c>
      <c r="B30" s="13">
        <f>COUNTIF('Test Cases'!$B$3:$B$182,$A30)</f>
        <v>5</v>
      </c>
      <c r="C30" s="13">
        <f>COUNTIFS('Test Cases'!$B$3:$B$182,$A30,'Test Cases'!$G$3:$G$182,"Pass")</f>
        <v>0</v>
      </c>
      <c r="D30" s="13">
        <f>COUNTIFS('Test Cases'!$B$3:$B$182,$A30,'Test Cases'!$G$3:$G$182,"Fail")</f>
        <v>0</v>
      </c>
      <c r="E30" s="13">
        <f>COUNTIFS('Test Cases'!$B$3:$B$182,$A30,'Test Cases'!$G$3:$G$182,"In Progress")</f>
        <v>0</v>
      </c>
      <c r="F30" s="13">
        <f>COUNTIFS('Test Cases'!$B$3:$B$182,$A30,'Test Cases'!$G$3:$G$182,"Not Started")</f>
        <v>5</v>
      </c>
      <c r="G30" s="13">
        <f>COUNTIFS('Test Cases'!$B$3:$B$182,$A30,'Test Cases'!$G$3:$G$182,"Blocked")</f>
        <v>0</v>
      </c>
      <c r="H30" s="13">
        <f>COUNTIFS('Test Cases'!$B$3:$B$182,$A30,'Test Cases'!$J$3:$J$182,"Important")</f>
        <v>1</v>
      </c>
    </row>
    <row r="31" spans="1:8" x14ac:dyDescent="0.3">
      <c r="A31" s="12" t="s">
        <v>367</v>
      </c>
      <c r="B31" s="13">
        <f>COUNTIF('Test Cases'!$B$3:$B$182,$A31)</f>
        <v>10</v>
      </c>
      <c r="C31" s="13">
        <f>COUNTIFS('Test Cases'!$B$3:$B$182,$A31,'Test Cases'!$G$3:$G$182,"Pass")</f>
        <v>0</v>
      </c>
      <c r="D31" s="13">
        <f>COUNTIFS('Test Cases'!$B$3:$B$182,$A31,'Test Cases'!$G$3:$G$182,"Fail")</f>
        <v>0</v>
      </c>
      <c r="E31" s="13">
        <f>COUNTIFS('Test Cases'!$B$3:$B$182,$A31,'Test Cases'!$G$3:$G$182,"In Progress")</f>
        <v>0</v>
      </c>
      <c r="F31" s="13">
        <f>COUNTIFS('Test Cases'!$B$3:$B$182,$A31,'Test Cases'!$G$3:$G$182,"Not Started")</f>
        <v>10</v>
      </c>
      <c r="G31" s="13">
        <f>COUNTIFS('Test Cases'!$B$3:$B$182,$A31,'Test Cases'!$G$3:$G$182,"Blocked")</f>
        <v>0</v>
      </c>
      <c r="H31" s="13">
        <f>COUNTIFS('Test Cases'!$B$3:$B$182,$A31,'Test Cases'!$J$3:$J$182,"Important")</f>
        <v>3</v>
      </c>
    </row>
    <row r="32" spans="1:8" x14ac:dyDescent="0.3">
      <c r="A32" s="12" t="s">
        <v>408</v>
      </c>
      <c r="B32" s="13">
        <f>COUNTIF('Test Cases'!$B$3:$B$182,$A32)</f>
        <v>8</v>
      </c>
      <c r="C32" s="13">
        <f>COUNTIFS('Test Cases'!$B$3:$B$182,$A32,'Test Cases'!$G$3:$G$182,"Pass")</f>
        <v>0</v>
      </c>
      <c r="D32" s="13">
        <f>COUNTIFS('Test Cases'!$B$3:$B$182,$A32,'Test Cases'!$G$3:$G$182,"Fail")</f>
        <v>0</v>
      </c>
      <c r="E32" s="13">
        <f>COUNTIFS('Test Cases'!$B$3:$B$182,$A32,'Test Cases'!$G$3:$G$182,"In Progress")</f>
        <v>0</v>
      </c>
      <c r="F32" s="13">
        <f>COUNTIFS('Test Cases'!$B$3:$B$182,$A32,'Test Cases'!$G$3:$G$182,"Not Started")</f>
        <v>8</v>
      </c>
      <c r="G32" s="13">
        <f>COUNTIFS('Test Cases'!$B$3:$B$182,$A32,'Test Cases'!$G$3:$G$182,"Blocked")</f>
        <v>0</v>
      </c>
      <c r="H32" s="13">
        <f>COUNTIFS('Test Cases'!$B$3:$B$182,$A32,'Test Cases'!$J$3:$J$182,"Important")</f>
        <v>3</v>
      </c>
    </row>
    <row r="33" spans="1:8" x14ac:dyDescent="0.3">
      <c r="A33" s="12" t="s">
        <v>441</v>
      </c>
      <c r="B33" s="13">
        <f>COUNTIF('Test Cases'!$B$3:$B$182,$A33)</f>
        <v>11</v>
      </c>
      <c r="C33" s="13">
        <f>COUNTIFS('Test Cases'!$B$3:$B$182,$A33,'Test Cases'!$G$3:$G$182,"Pass")</f>
        <v>0</v>
      </c>
      <c r="D33" s="13">
        <f>COUNTIFS('Test Cases'!$B$3:$B$182,$A33,'Test Cases'!$G$3:$G$182,"Fail")</f>
        <v>0</v>
      </c>
      <c r="E33" s="13">
        <f>COUNTIFS('Test Cases'!$B$3:$B$182,$A33,'Test Cases'!$G$3:$G$182,"In Progress")</f>
        <v>0</v>
      </c>
      <c r="F33" s="13">
        <f>COUNTIFS('Test Cases'!$B$3:$B$182,$A33,'Test Cases'!$G$3:$G$182,"Not Started")</f>
        <v>11</v>
      </c>
      <c r="G33" s="13">
        <f>COUNTIFS('Test Cases'!$B$3:$B$182,$A33,'Test Cases'!$G$3:$G$182,"Blocked")</f>
        <v>0</v>
      </c>
      <c r="H33" s="13">
        <f>COUNTIFS('Test Cases'!$B$3:$B$182,$A33,'Test Cases'!$J$3:$J$182,"Important")</f>
        <v>2</v>
      </c>
    </row>
    <row r="34" spans="1:8" x14ac:dyDescent="0.3">
      <c r="A34" s="12" t="s">
        <v>486</v>
      </c>
      <c r="B34" s="13">
        <f>COUNTIF('Test Cases'!$B$3:$B$182,$A34)</f>
        <v>3</v>
      </c>
      <c r="C34" s="13">
        <f>COUNTIFS('Test Cases'!$B$3:$B$182,$A34,'Test Cases'!$G$3:$G$182,"Pass")</f>
        <v>0</v>
      </c>
      <c r="D34" s="13">
        <f>COUNTIFS('Test Cases'!$B$3:$B$182,$A34,'Test Cases'!$G$3:$G$182,"Fail")</f>
        <v>0</v>
      </c>
      <c r="E34" s="13">
        <f>COUNTIFS('Test Cases'!$B$3:$B$182,$A34,'Test Cases'!$G$3:$G$182,"In Progress")</f>
        <v>0</v>
      </c>
      <c r="F34" s="13">
        <f>COUNTIFS('Test Cases'!$B$3:$B$182,$A34,'Test Cases'!$G$3:$G$182,"Not Started")</f>
        <v>3</v>
      </c>
      <c r="G34" s="13">
        <f>COUNTIFS('Test Cases'!$B$3:$B$182,$A34,'Test Cases'!$G$3:$G$182,"Blocked")</f>
        <v>0</v>
      </c>
      <c r="H34" s="13">
        <f>COUNTIFS('Test Cases'!$B$3:$B$182,$A34,'Test Cases'!$J$3:$J$182,"Important")</f>
        <v>2</v>
      </c>
    </row>
    <row r="35" spans="1:8" x14ac:dyDescent="0.3">
      <c r="A35" s="12" t="s">
        <v>499</v>
      </c>
      <c r="B35" s="13">
        <f>COUNTIF('Test Cases'!$B$3:$B$182,$A35)</f>
        <v>16</v>
      </c>
      <c r="C35" s="13">
        <f>COUNTIFS('Test Cases'!$B$3:$B$182,$A35,'Test Cases'!$G$3:$G$182,"Pass")</f>
        <v>0</v>
      </c>
      <c r="D35" s="13">
        <f>COUNTIFS('Test Cases'!$B$3:$B$182,$A35,'Test Cases'!$G$3:$G$182,"Fail")</f>
        <v>0</v>
      </c>
      <c r="E35" s="13">
        <f>COUNTIFS('Test Cases'!$B$3:$B$182,$A35,'Test Cases'!$G$3:$G$182,"In Progress")</f>
        <v>0</v>
      </c>
      <c r="F35" s="13">
        <f>COUNTIFS('Test Cases'!$B$3:$B$182,$A35,'Test Cases'!$G$3:$G$182,"Not Started")</f>
        <v>16</v>
      </c>
      <c r="G35" s="13">
        <f>COUNTIFS('Test Cases'!$B$3:$B$182,$A35,'Test Cases'!$G$3:$G$182,"Blocked")</f>
        <v>0</v>
      </c>
      <c r="H35" s="13">
        <f>COUNTIFS('Test Cases'!$B$3:$B$182,$A35,'Test Cases'!$J$3:$J$182,"Important")</f>
        <v>4</v>
      </c>
    </row>
    <row r="36" spans="1:8" x14ac:dyDescent="0.3">
      <c r="A36" s="12" t="s">
        <v>564</v>
      </c>
      <c r="B36" s="13">
        <f>COUNTIF('Test Cases'!$B$3:$B$182,$A36)</f>
        <v>6</v>
      </c>
      <c r="C36" s="13">
        <f>COUNTIFS('Test Cases'!$B$3:$B$182,$A36,'Test Cases'!$G$3:$G$182,"Pass")</f>
        <v>0</v>
      </c>
      <c r="D36" s="13">
        <f>COUNTIFS('Test Cases'!$B$3:$B$182,$A36,'Test Cases'!$G$3:$G$182,"Fail")</f>
        <v>0</v>
      </c>
      <c r="E36" s="13">
        <f>COUNTIFS('Test Cases'!$B$3:$B$182,$A36,'Test Cases'!$G$3:$G$182,"In Progress")</f>
        <v>0</v>
      </c>
      <c r="F36" s="13">
        <f>COUNTIFS('Test Cases'!$B$3:$B$182,$A36,'Test Cases'!$G$3:$G$182,"Not Started")</f>
        <v>6</v>
      </c>
      <c r="G36" s="13">
        <f>COUNTIFS('Test Cases'!$B$3:$B$182,$A36,'Test Cases'!$G$3:$G$182,"Blocked")</f>
        <v>0</v>
      </c>
      <c r="H36" s="13">
        <f>COUNTIFS('Test Cases'!$B$3:$B$182,$A36,'Test Cases'!$J$3:$J$182,"Important")</f>
        <v>1</v>
      </c>
    </row>
    <row r="37" spans="1:8" x14ac:dyDescent="0.3">
      <c r="A37" s="12" t="s">
        <v>589</v>
      </c>
      <c r="B37" s="13">
        <f>COUNTIF('Test Cases'!$B$3:$B$182,$A37)</f>
        <v>6</v>
      </c>
      <c r="C37" s="13">
        <f>COUNTIFS('Test Cases'!$B$3:$B$182,$A37,'Test Cases'!$G$3:$G$182,"Pass")</f>
        <v>0</v>
      </c>
      <c r="D37" s="13">
        <f>COUNTIFS('Test Cases'!$B$3:$B$182,$A37,'Test Cases'!$G$3:$G$182,"Fail")</f>
        <v>0</v>
      </c>
      <c r="E37" s="13">
        <f>COUNTIFS('Test Cases'!$B$3:$B$182,$A37,'Test Cases'!$G$3:$G$182,"In Progress")</f>
        <v>0</v>
      </c>
      <c r="F37" s="13">
        <f>COUNTIFS('Test Cases'!$B$3:$B$182,$A37,'Test Cases'!$G$3:$G$182,"Not Started")</f>
        <v>6</v>
      </c>
      <c r="G37" s="13">
        <f>COUNTIFS('Test Cases'!$B$3:$B$182,$A37,'Test Cases'!$G$3:$G$182,"Blocked")</f>
        <v>0</v>
      </c>
      <c r="H37" s="13">
        <f>COUNTIFS('Test Cases'!$B$3:$B$182,$A37,'Test Cases'!$J$3:$J$182,"Important")</f>
        <v>1</v>
      </c>
    </row>
    <row r="38" spans="1:8" x14ac:dyDescent="0.3">
      <c r="A38" s="12" t="s">
        <v>613</v>
      </c>
      <c r="B38" s="13">
        <f>COUNTIF('Test Cases'!$B$3:$B$182,$A38)</f>
        <v>0</v>
      </c>
      <c r="C38" s="13">
        <f>COUNTIFS('Test Cases'!$B$3:$B$182,$A38,'Test Cases'!$G$3:$G$182,"Pass")</f>
        <v>0</v>
      </c>
      <c r="D38" s="13">
        <f>COUNTIFS('Test Cases'!$B$3:$B$182,$A38,'Test Cases'!$G$3:$G$182,"Fail")</f>
        <v>0</v>
      </c>
      <c r="E38" s="13">
        <f>COUNTIFS('Test Cases'!$B$3:$B$182,$A38,'Test Cases'!$G$3:$G$182,"In Progress")</f>
        <v>0</v>
      </c>
      <c r="F38" s="13">
        <f>COUNTIFS('Test Cases'!$B$3:$B$182,$A38,'Test Cases'!$G$3:$G$182,"Not Started")</f>
        <v>0</v>
      </c>
      <c r="G38" s="13">
        <f>COUNTIFS('Test Cases'!$B$3:$B$182,$A38,'Test Cases'!$G$3:$G$182,"Blocked")</f>
        <v>0</v>
      </c>
      <c r="H38" s="13">
        <f>COUNTIFS('Test Cases'!$B$3:$B$182,$A38,'Test Cases'!$J$3:$J$182,"Important")</f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" x14ac:dyDescent="0.3"/>
  <cols>
    <col min="1" max="1" width="20" customWidth="1"/>
    <col min="2" max="2" width="95" customWidth="1"/>
  </cols>
  <sheetData>
    <row r="1" spans="1:2" ht="17.399999999999999" x14ac:dyDescent="0.3">
      <c r="A1" s="20" t="s">
        <v>625</v>
      </c>
      <c r="B1" s="19"/>
    </row>
    <row r="3" spans="1:2" ht="36" customHeight="1" x14ac:dyDescent="0.3">
      <c r="A3" s="16" t="s">
        <v>626</v>
      </c>
      <c r="B3" s="17" t="s">
        <v>627</v>
      </c>
    </row>
    <row r="4" spans="1:2" ht="36" customHeight="1" x14ac:dyDescent="0.3">
      <c r="A4" s="16" t="s">
        <v>628</v>
      </c>
      <c r="B4" s="17" t="s">
        <v>629</v>
      </c>
    </row>
    <row r="5" spans="1:2" ht="36" customHeight="1" x14ac:dyDescent="0.3">
      <c r="A5" s="16" t="s">
        <v>7</v>
      </c>
      <c r="B5" s="17" t="s">
        <v>630</v>
      </c>
    </row>
    <row r="6" spans="1:2" ht="66" customHeight="1" x14ac:dyDescent="0.3">
      <c r="A6" s="16" t="s">
        <v>10</v>
      </c>
      <c r="B6" s="17" t="s">
        <v>631</v>
      </c>
    </row>
    <row r="7" spans="1:2" ht="36" customHeight="1" x14ac:dyDescent="0.3">
      <c r="A7" s="16" t="s">
        <v>632</v>
      </c>
      <c r="B7" s="17" t="s">
        <v>633</v>
      </c>
    </row>
    <row r="8" spans="1:2" ht="21" customHeight="1" x14ac:dyDescent="0.3">
      <c r="A8" s="16" t="s">
        <v>634</v>
      </c>
      <c r="B8" s="17" t="s">
        <v>635</v>
      </c>
    </row>
    <row r="9" spans="1:2" ht="36" customHeight="1" x14ac:dyDescent="0.3">
      <c r="A9" s="16" t="s">
        <v>636</v>
      </c>
      <c r="B9" s="17" t="s">
        <v>637</v>
      </c>
    </row>
    <row r="10" spans="1:2" ht="96" customHeight="1" x14ac:dyDescent="0.3">
      <c r="A10" s="16" t="s">
        <v>638</v>
      </c>
      <c r="B10" s="17" t="s">
        <v>639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Taufiqul Islam</cp:lastModifiedBy>
  <dcterms:created xsi:type="dcterms:W3CDTF">2026-10-14T04:39:41Z</dcterms:created>
  <dcterms:modified xsi:type="dcterms:W3CDTF">2026-10-14T07:04:26Z</dcterms:modified>
</cp:coreProperties>
</file>